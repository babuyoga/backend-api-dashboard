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in.kareem\Downloads\"/>
    </mc:Choice>
  </mc:AlternateContent>
  <xr:revisionPtr revIDLastSave="0" documentId="8_{68F7C087-03BB-4DA2-9D59-06C4826DA853}" xr6:coauthVersionLast="47" xr6:coauthVersionMax="47" xr10:uidLastSave="{00000000-0000-0000-0000-000000000000}"/>
  <bookViews>
    <workbookView xWindow="-108" yWindow="-108" windowWidth="23256" windowHeight="12456" xr2:uid="{CB1B6691-3B4D-4799-A5DD-7E90B75D6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6" i="1" l="1"/>
  <c r="U566" i="1"/>
  <c r="T566" i="1"/>
  <c r="S566" i="1"/>
  <c r="R566" i="1"/>
  <c r="Q566" i="1"/>
  <c r="P566" i="1"/>
  <c r="O566" i="1"/>
  <c r="N566" i="1"/>
  <c r="M566" i="1"/>
  <c r="L566" i="1"/>
  <c r="K566" i="1"/>
  <c r="X565" i="1"/>
  <c r="U565" i="1"/>
  <c r="T565" i="1"/>
  <c r="S565" i="1"/>
  <c r="R565" i="1"/>
  <c r="Q565" i="1"/>
  <c r="P565" i="1"/>
  <c r="O565" i="1"/>
  <c r="N565" i="1"/>
  <c r="M565" i="1"/>
  <c r="L565" i="1"/>
  <c r="K565" i="1"/>
  <c r="X564" i="1"/>
  <c r="U564" i="1"/>
  <c r="T564" i="1"/>
  <c r="S564" i="1"/>
  <c r="R564" i="1"/>
  <c r="Q564" i="1"/>
  <c r="P564" i="1"/>
  <c r="O564" i="1"/>
  <c r="N564" i="1"/>
  <c r="M564" i="1"/>
  <c r="L564" i="1"/>
  <c r="K564" i="1"/>
  <c r="X563" i="1"/>
  <c r="U563" i="1"/>
  <c r="T563" i="1"/>
  <c r="S563" i="1"/>
  <c r="R563" i="1"/>
  <c r="Q563" i="1"/>
  <c r="P563" i="1"/>
  <c r="O563" i="1"/>
  <c r="N563" i="1"/>
  <c r="M563" i="1"/>
  <c r="L563" i="1"/>
  <c r="K563" i="1"/>
  <c r="X562" i="1"/>
  <c r="U562" i="1"/>
  <c r="T562" i="1"/>
  <c r="S562" i="1"/>
  <c r="R562" i="1"/>
  <c r="Q562" i="1"/>
  <c r="P562" i="1"/>
  <c r="O562" i="1"/>
  <c r="N562" i="1"/>
  <c r="M562" i="1"/>
  <c r="L562" i="1"/>
  <c r="K562" i="1"/>
  <c r="X561" i="1"/>
  <c r="U561" i="1"/>
  <c r="T561" i="1"/>
  <c r="S561" i="1"/>
  <c r="R561" i="1"/>
  <c r="Q561" i="1"/>
  <c r="P561" i="1"/>
  <c r="O561" i="1"/>
  <c r="N561" i="1"/>
  <c r="M561" i="1"/>
  <c r="L561" i="1"/>
  <c r="K561" i="1"/>
  <c r="X560" i="1"/>
  <c r="U560" i="1"/>
  <c r="T560" i="1"/>
  <c r="S560" i="1"/>
  <c r="R560" i="1"/>
  <c r="Q560" i="1"/>
  <c r="P560" i="1"/>
  <c r="O560" i="1"/>
  <c r="N560" i="1"/>
  <c r="M560" i="1"/>
  <c r="L560" i="1"/>
  <c r="K560" i="1"/>
  <c r="X559" i="1"/>
  <c r="U559" i="1"/>
  <c r="T559" i="1"/>
  <c r="S559" i="1"/>
  <c r="R559" i="1"/>
  <c r="Q559" i="1"/>
  <c r="P559" i="1"/>
  <c r="O559" i="1"/>
  <c r="N559" i="1"/>
  <c r="M559" i="1"/>
  <c r="L559" i="1"/>
  <c r="K559" i="1"/>
  <c r="X558" i="1"/>
  <c r="U558" i="1"/>
  <c r="T558" i="1"/>
  <c r="S558" i="1"/>
  <c r="R558" i="1"/>
  <c r="Q558" i="1"/>
  <c r="P558" i="1"/>
  <c r="O558" i="1"/>
  <c r="N558" i="1"/>
  <c r="M558" i="1"/>
  <c r="L558" i="1"/>
  <c r="K558" i="1"/>
  <c r="X557" i="1"/>
  <c r="U557" i="1"/>
  <c r="T557" i="1"/>
  <c r="S557" i="1"/>
  <c r="R557" i="1"/>
  <c r="Q557" i="1"/>
  <c r="P557" i="1"/>
  <c r="O557" i="1"/>
  <c r="N557" i="1"/>
  <c r="M557" i="1"/>
  <c r="L557" i="1"/>
  <c r="K557" i="1"/>
  <c r="X556" i="1"/>
  <c r="U556" i="1"/>
  <c r="T556" i="1"/>
  <c r="S556" i="1"/>
  <c r="R556" i="1"/>
  <c r="Q556" i="1"/>
  <c r="P556" i="1"/>
  <c r="O556" i="1"/>
  <c r="N556" i="1"/>
  <c r="M556" i="1"/>
  <c r="L556" i="1"/>
  <c r="K556" i="1"/>
  <c r="X555" i="1"/>
  <c r="U555" i="1"/>
  <c r="T555" i="1"/>
  <c r="S555" i="1"/>
  <c r="R555" i="1"/>
  <c r="Q555" i="1"/>
  <c r="P555" i="1"/>
  <c r="O555" i="1"/>
  <c r="N555" i="1"/>
  <c r="M555" i="1"/>
  <c r="L555" i="1"/>
  <c r="K555" i="1"/>
  <c r="X554" i="1"/>
  <c r="U554" i="1"/>
  <c r="T554" i="1"/>
  <c r="S554" i="1"/>
  <c r="R554" i="1"/>
  <c r="Q554" i="1"/>
  <c r="P554" i="1"/>
  <c r="O554" i="1"/>
  <c r="N554" i="1"/>
  <c r="M554" i="1"/>
  <c r="L554" i="1"/>
  <c r="K554" i="1"/>
  <c r="X553" i="1"/>
  <c r="U553" i="1"/>
  <c r="T553" i="1"/>
  <c r="S553" i="1"/>
  <c r="R553" i="1"/>
  <c r="Q553" i="1"/>
  <c r="P553" i="1"/>
  <c r="O553" i="1"/>
  <c r="N553" i="1"/>
  <c r="M553" i="1"/>
  <c r="L553" i="1"/>
  <c r="K553" i="1"/>
  <c r="X552" i="1"/>
  <c r="U552" i="1"/>
  <c r="T552" i="1"/>
  <c r="S552" i="1"/>
  <c r="R552" i="1"/>
  <c r="Q552" i="1"/>
  <c r="P552" i="1"/>
  <c r="O552" i="1"/>
  <c r="N552" i="1"/>
  <c r="M552" i="1"/>
  <c r="L552" i="1"/>
  <c r="K552" i="1"/>
  <c r="X551" i="1"/>
  <c r="U551" i="1"/>
  <c r="T551" i="1"/>
  <c r="S551" i="1"/>
  <c r="R551" i="1"/>
  <c r="Q551" i="1"/>
  <c r="P551" i="1"/>
  <c r="O551" i="1"/>
  <c r="N551" i="1"/>
  <c r="M551" i="1"/>
  <c r="L551" i="1"/>
  <c r="K551" i="1"/>
  <c r="X550" i="1"/>
  <c r="U550" i="1"/>
  <c r="T550" i="1"/>
  <c r="S550" i="1"/>
  <c r="R550" i="1"/>
  <c r="Q550" i="1"/>
  <c r="P550" i="1"/>
  <c r="O550" i="1"/>
  <c r="N550" i="1"/>
  <c r="M550" i="1"/>
  <c r="L550" i="1"/>
  <c r="K550" i="1"/>
  <c r="X549" i="1"/>
  <c r="U549" i="1"/>
  <c r="T549" i="1"/>
  <c r="S549" i="1"/>
  <c r="R549" i="1"/>
  <c r="Q549" i="1"/>
  <c r="P549" i="1"/>
  <c r="O549" i="1"/>
  <c r="N549" i="1"/>
  <c r="M549" i="1"/>
  <c r="L549" i="1"/>
  <c r="K549" i="1"/>
  <c r="X548" i="1"/>
  <c r="U548" i="1"/>
  <c r="T548" i="1"/>
  <c r="S548" i="1"/>
  <c r="R548" i="1"/>
  <c r="Q548" i="1"/>
  <c r="P548" i="1"/>
  <c r="O548" i="1"/>
  <c r="N548" i="1"/>
  <c r="M548" i="1"/>
  <c r="L548" i="1"/>
  <c r="K548" i="1"/>
  <c r="X547" i="1"/>
  <c r="U547" i="1"/>
  <c r="T547" i="1"/>
  <c r="S547" i="1"/>
  <c r="R547" i="1"/>
  <c r="Q547" i="1"/>
  <c r="P547" i="1"/>
  <c r="O547" i="1"/>
  <c r="N547" i="1"/>
  <c r="M547" i="1"/>
  <c r="L547" i="1"/>
  <c r="K547" i="1"/>
  <c r="X546" i="1"/>
  <c r="U546" i="1"/>
  <c r="T546" i="1"/>
  <c r="S546" i="1"/>
  <c r="R546" i="1"/>
  <c r="Q546" i="1"/>
  <c r="P546" i="1"/>
  <c r="O546" i="1"/>
  <c r="N546" i="1"/>
  <c r="M546" i="1"/>
  <c r="L546" i="1"/>
  <c r="K546" i="1"/>
  <c r="X545" i="1"/>
  <c r="U545" i="1"/>
  <c r="T545" i="1"/>
  <c r="S545" i="1"/>
  <c r="R545" i="1"/>
  <c r="Q545" i="1"/>
  <c r="P545" i="1"/>
  <c r="O545" i="1"/>
  <c r="N545" i="1"/>
  <c r="M545" i="1"/>
  <c r="L545" i="1"/>
  <c r="K545" i="1"/>
  <c r="X544" i="1"/>
  <c r="U544" i="1"/>
  <c r="T544" i="1"/>
  <c r="S544" i="1"/>
  <c r="R544" i="1"/>
  <c r="Q544" i="1"/>
  <c r="P544" i="1"/>
  <c r="O544" i="1"/>
  <c r="N544" i="1"/>
  <c r="M544" i="1"/>
  <c r="L544" i="1"/>
  <c r="K544" i="1"/>
  <c r="X543" i="1"/>
  <c r="U543" i="1"/>
  <c r="T543" i="1"/>
  <c r="S543" i="1"/>
  <c r="R543" i="1"/>
  <c r="Q543" i="1"/>
  <c r="P543" i="1"/>
  <c r="O543" i="1"/>
  <c r="N543" i="1"/>
  <c r="M543" i="1"/>
  <c r="L543" i="1"/>
  <c r="K543" i="1"/>
  <c r="X542" i="1"/>
  <c r="U542" i="1"/>
  <c r="T542" i="1"/>
  <c r="S542" i="1"/>
  <c r="R542" i="1"/>
  <c r="Q542" i="1"/>
  <c r="P542" i="1"/>
  <c r="O542" i="1"/>
  <c r="N542" i="1"/>
  <c r="M542" i="1"/>
  <c r="L542" i="1"/>
  <c r="K542" i="1"/>
  <c r="X541" i="1"/>
  <c r="U541" i="1"/>
  <c r="T541" i="1"/>
  <c r="S541" i="1"/>
  <c r="R541" i="1"/>
  <c r="Q541" i="1"/>
  <c r="P541" i="1"/>
  <c r="O541" i="1"/>
  <c r="N541" i="1"/>
  <c r="M541" i="1"/>
  <c r="L541" i="1"/>
  <c r="K541" i="1"/>
  <c r="X540" i="1"/>
  <c r="U540" i="1"/>
  <c r="T540" i="1"/>
  <c r="S540" i="1"/>
  <c r="R540" i="1"/>
  <c r="Q540" i="1"/>
  <c r="P540" i="1"/>
  <c r="O540" i="1"/>
  <c r="N540" i="1"/>
  <c r="M540" i="1"/>
  <c r="L540" i="1"/>
  <c r="K540" i="1"/>
  <c r="X539" i="1"/>
  <c r="U539" i="1"/>
  <c r="T539" i="1"/>
  <c r="S539" i="1"/>
  <c r="R539" i="1"/>
  <c r="Q539" i="1"/>
  <c r="P539" i="1"/>
  <c r="O539" i="1"/>
  <c r="N539" i="1"/>
  <c r="M539" i="1"/>
  <c r="L539" i="1"/>
  <c r="K539" i="1"/>
  <c r="X538" i="1"/>
  <c r="U538" i="1"/>
  <c r="T538" i="1"/>
  <c r="S538" i="1"/>
  <c r="R538" i="1"/>
  <c r="Q538" i="1"/>
  <c r="P538" i="1"/>
  <c r="O538" i="1"/>
  <c r="N538" i="1"/>
  <c r="M538" i="1"/>
  <c r="L538" i="1"/>
  <c r="K538" i="1"/>
  <c r="X537" i="1"/>
  <c r="U537" i="1"/>
  <c r="T537" i="1"/>
  <c r="S537" i="1"/>
  <c r="R537" i="1"/>
  <c r="Q537" i="1"/>
  <c r="P537" i="1"/>
  <c r="O537" i="1"/>
  <c r="N537" i="1"/>
  <c r="M537" i="1"/>
  <c r="L537" i="1"/>
  <c r="K537" i="1"/>
  <c r="X536" i="1"/>
  <c r="U536" i="1"/>
  <c r="T536" i="1"/>
  <c r="S536" i="1"/>
  <c r="R536" i="1"/>
  <c r="Q536" i="1"/>
  <c r="P536" i="1"/>
  <c r="O536" i="1"/>
  <c r="N536" i="1"/>
  <c r="M536" i="1"/>
  <c r="L536" i="1"/>
  <c r="K536" i="1"/>
  <c r="X535" i="1"/>
  <c r="U535" i="1"/>
  <c r="T535" i="1"/>
  <c r="S535" i="1"/>
  <c r="R535" i="1"/>
  <c r="Q535" i="1"/>
  <c r="P535" i="1"/>
  <c r="O535" i="1"/>
  <c r="N535" i="1"/>
  <c r="M535" i="1"/>
  <c r="L535" i="1"/>
  <c r="K535" i="1"/>
  <c r="X534" i="1"/>
  <c r="U534" i="1"/>
  <c r="T534" i="1"/>
  <c r="S534" i="1"/>
  <c r="R534" i="1"/>
  <c r="Q534" i="1"/>
  <c r="P534" i="1"/>
  <c r="O534" i="1"/>
  <c r="N534" i="1"/>
  <c r="M534" i="1"/>
  <c r="L534" i="1"/>
  <c r="K534" i="1"/>
  <c r="X533" i="1"/>
  <c r="U533" i="1"/>
  <c r="T533" i="1"/>
  <c r="S533" i="1"/>
  <c r="R533" i="1"/>
  <c r="Q533" i="1"/>
  <c r="P533" i="1"/>
  <c r="O533" i="1"/>
  <c r="N533" i="1"/>
  <c r="M533" i="1"/>
  <c r="L533" i="1"/>
  <c r="K533" i="1"/>
  <c r="X532" i="1"/>
  <c r="U532" i="1"/>
  <c r="T532" i="1"/>
  <c r="S532" i="1"/>
  <c r="R532" i="1"/>
  <c r="Q532" i="1"/>
  <c r="P532" i="1"/>
  <c r="O532" i="1"/>
  <c r="N532" i="1"/>
  <c r="M532" i="1"/>
  <c r="L532" i="1"/>
  <c r="K532" i="1"/>
  <c r="X531" i="1"/>
  <c r="U531" i="1"/>
  <c r="T531" i="1"/>
  <c r="S531" i="1"/>
  <c r="R531" i="1"/>
  <c r="Q531" i="1"/>
  <c r="P531" i="1"/>
  <c r="O531" i="1"/>
  <c r="N531" i="1"/>
  <c r="M531" i="1"/>
  <c r="L531" i="1"/>
  <c r="K531" i="1"/>
  <c r="X530" i="1"/>
  <c r="U530" i="1"/>
  <c r="T530" i="1"/>
  <c r="S530" i="1"/>
  <c r="R530" i="1"/>
  <c r="Q530" i="1"/>
  <c r="P530" i="1"/>
  <c r="O530" i="1"/>
  <c r="N530" i="1"/>
  <c r="M530" i="1"/>
  <c r="L530" i="1"/>
  <c r="K530" i="1"/>
  <c r="X529" i="1"/>
  <c r="U529" i="1"/>
  <c r="T529" i="1"/>
  <c r="S529" i="1"/>
  <c r="R529" i="1"/>
  <c r="Q529" i="1"/>
  <c r="P529" i="1"/>
  <c r="O529" i="1"/>
  <c r="N529" i="1"/>
  <c r="M529" i="1"/>
  <c r="L529" i="1"/>
  <c r="K529" i="1"/>
  <c r="X528" i="1"/>
  <c r="U528" i="1"/>
  <c r="T528" i="1"/>
  <c r="S528" i="1"/>
  <c r="R528" i="1"/>
  <c r="Q528" i="1"/>
  <c r="P528" i="1"/>
  <c r="O528" i="1"/>
  <c r="N528" i="1"/>
  <c r="M528" i="1"/>
  <c r="L528" i="1"/>
  <c r="K528" i="1"/>
  <c r="X527" i="1"/>
  <c r="U527" i="1"/>
  <c r="T527" i="1"/>
  <c r="S527" i="1"/>
  <c r="R527" i="1"/>
  <c r="Q527" i="1"/>
  <c r="P527" i="1"/>
  <c r="O527" i="1"/>
  <c r="N527" i="1"/>
  <c r="M527" i="1"/>
  <c r="L527" i="1"/>
  <c r="K527" i="1"/>
  <c r="X526" i="1"/>
  <c r="U526" i="1"/>
  <c r="T526" i="1"/>
  <c r="S526" i="1"/>
  <c r="R526" i="1"/>
  <c r="Q526" i="1"/>
  <c r="P526" i="1"/>
  <c r="O526" i="1"/>
  <c r="N526" i="1"/>
  <c r="M526" i="1"/>
  <c r="L526" i="1"/>
  <c r="K526" i="1"/>
  <c r="X525" i="1"/>
  <c r="U525" i="1"/>
  <c r="T525" i="1"/>
  <c r="S525" i="1"/>
  <c r="R525" i="1"/>
  <c r="Q525" i="1"/>
  <c r="P525" i="1"/>
  <c r="O525" i="1"/>
  <c r="N525" i="1"/>
  <c r="M525" i="1"/>
  <c r="L525" i="1"/>
  <c r="K525" i="1"/>
  <c r="X524" i="1"/>
  <c r="U524" i="1"/>
  <c r="T524" i="1"/>
  <c r="S524" i="1"/>
  <c r="R524" i="1"/>
  <c r="Q524" i="1"/>
  <c r="P524" i="1"/>
  <c r="O524" i="1"/>
  <c r="N524" i="1"/>
  <c r="M524" i="1"/>
  <c r="L524" i="1"/>
  <c r="K524" i="1"/>
  <c r="X523" i="1"/>
  <c r="U523" i="1"/>
  <c r="T523" i="1"/>
  <c r="S523" i="1"/>
  <c r="R523" i="1"/>
  <c r="Q523" i="1"/>
  <c r="P523" i="1"/>
  <c r="O523" i="1"/>
  <c r="N523" i="1"/>
  <c r="M523" i="1"/>
  <c r="L523" i="1"/>
  <c r="K523" i="1"/>
  <c r="X522" i="1"/>
  <c r="U522" i="1"/>
  <c r="T522" i="1"/>
  <c r="S522" i="1"/>
  <c r="R522" i="1"/>
  <c r="Q522" i="1"/>
  <c r="P522" i="1"/>
  <c r="O522" i="1"/>
  <c r="N522" i="1"/>
  <c r="M522" i="1"/>
  <c r="L522" i="1"/>
  <c r="K522" i="1"/>
  <c r="X521" i="1"/>
  <c r="U521" i="1"/>
  <c r="T521" i="1"/>
  <c r="S521" i="1"/>
  <c r="R521" i="1"/>
  <c r="Q521" i="1"/>
  <c r="P521" i="1"/>
  <c r="O521" i="1"/>
  <c r="N521" i="1"/>
  <c r="M521" i="1"/>
  <c r="L521" i="1"/>
  <c r="K521" i="1"/>
  <c r="X520" i="1"/>
  <c r="U520" i="1"/>
  <c r="T520" i="1"/>
  <c r="S520" i="1"/>
  <c r="R520" i="1"/>
  <c r="Q520" i="1"/>
  <c r="P520" i="1"/>
  <c r="O520" i="1"/>
  <c r="N520" i="1"/>
  <c r="M520" i="1"/>
  <c r="L520" i="1"/>
  <c r="K520" i="1"/>
  <c r="X519" i="1"/>
  <c r="U519" i="1"/>
  <c r="T519" i="1"/>
  <c r="S519" i="1"/>
  <c r="R519" i="1"/>
  <c r="Q519" i="1"/>
  <c r="P519" i="1"/>
  <c r="O519" i="1"/>
  <c r="N519" i="1"/>
  <c r="M519" i="1"/>
  <c r="L519" i="1"/>
  <c r="K519" i="1"/>
  <c r="X518" i="1"/>
  <c r="U518" i="1"/>
  <c r="T518" i="1"/>
  <c r="S518" i="1"/>
  <c r="R518" i="1"/>
  <c r="Q518" i="1"/>
  <c r="P518" i="1"/>
  <c r="O518" i="1"/>
  <c r="N518" i="1"/>
  <c r="M518" i="1"/>
  <c r="L518" i="1"/>
  <c r="K518" i="1"/>
  <c r="X517" i="1"/>
  <c r="U517" i="1"/>
  <c r="T517" i="1"/>
  <c r="S517" i="1"/>
  <c r="R517" i="1"/>
  <c r="Q517" i="1"/>
  <c r="P517" i="1"/>
  <c r="O517" i="1"/>
  <c r="N517" i="1"/>
  <c r="M517" i="1"/>
  <c r="L517" i="1"/>
  <c r="K517" i="1"/>
  <c r="X516" i="1"/>
  <c r="U516" i="1"/>
  <c r="T516" i="1"/>
  <c r="S516" i="1"/>
  <c r="R516" i="1"/>
  <c r="Q516" i="1"/>
  <c r="P516" i="1"/>
  <c r="O516" i="1"/>
  <c r="N516" i="1"/>
  <c r="M516" i="1"/>
  <c r="L516" i="1"/>
  <c r="K516" i="1"/>
  <c r="X515" i="1"/>
  <c r="U515" i="1"/>
  <c r="T515" i="1"/>
  <c r="S515" i="1"/>
  <c r="R515" i="1"/>
  <c r="Q515" i="1"/>
  <c r="P515" i="1"/>
  <c r="O515" i="1"/>
  <c r="N515" i="1"/>
  <c r="M515" i="1"/>
  <c r="L515" i="1"/>
  <c r="K515" i="1"/>
  <c r="X514" i="1"/>
  <c r="U514" i="1"/>
  <c r="T514" i="1"/>
  <c r="S514" i="1"/>
  <c r="R514" i="1"/>
  <c r="Q514" i="1"/>
  <c r="P514" i="1"/>
  <c r="O514" i="1"/>
  <c r="N514" i="1"/>
  <c r="M514" i="1"/>
  <c r="L514" i="1"/>
  <c r="K514" i="1"/>
  <c r="X513" i="1"/>
  <c r="U513" i="1"/>
  <c r="T513" i="1"/>
  <c r="S513" i="1"/>
  <c r="R513" i="1"/>
  <c r="Q513" i="1"/>
  <c r="P513" i="1"/>
  <c r="O513" i="1"/>
  <c r="N513" i="1"/>
  <c r="M513" i="1"/>
  <c r="L513" i="1"/>
  <c r="K513" i="1"/>
  <c r="X512" i="1"/>
  <c r="U512" i="1"/>
  <c r="T512" i="1"/>
  <c r="S512" i="1"/>
  <c r="R512" i="1"/>
  <c r="Q512" i="1"/>
  <c r="P512" i="1"/>
  <c r="O512" i="1"/>
  <c r="N512" i="1"/>
  <c r="M512" i="1"/>
  <c r="L512" i="1"/>
  <c r="K512" i="1"/>
  <c r="X511" i="1"/>
  <c r="U511" i="1"/>
  <c r="T511" i="1"/>
  <c r="S511" i="1"/>
  <c r="R511" i="1"/>
  <c r="Q511" i="1"/>
  <c r="P511" i="1"/>
  <c r="O511" i="1"/>
  <c r="N511" i="1"/>
  <c r="M511" i="1"/>
  <c r="L511" i="1"/>
  <c r="K511" i="1"/>
  <c r="X510" i="1"/>
  <c r="U510" i="1"/>
  <c r="T510" i="1"/>
  <c r="S510" i="1"/>
  <c r="R510" i="1"/>
  <c r="Q510" i="1"/>
  <c r="P510" i="1"/>
  <c r="O510" i="1"/>
  <c r="N510" i="1"/>
  <c r="M510" i="1"/>
  <c r="L510" i="1"/>
  <c r="K510" i="1"/>
  <c r="X509" i="1"/>
  <c r="U509" i="1"/>
  <c r="T509" i="1"/>
  <c r="S509" i="1"/>
  <c r="R509" i="1"/>
  <c r="Q509" i="1"/>
  <c r="P509" i="1"/>
  <c r="O509" i="1"/>
  <c r="N509" i="1"/>
  <c r="M509" i="1"/>
  <c r="L509" i="1"/>
  <c r="K509" i="1"/>
  <c r="X508" i="1"/>
  <c r="U508" i="1"/>
  <c r="T508" i="1"/>
  <c r="S508" i="1"/>
  <c r="R508" i="1"/>
  <c r="Q508" i="1"/>
  <c r="P508" i="1"/>
  <c r="O508" i="1"/>
  <c r="N508" i="1"/>
  <c r="M508" i="1"/>
  <c r="L508" i="1"/>
  <c r="K508" i="1"/>
  <c r="X507" i="1"/>
  <c r="U507" i="1"/>
  <c r="T507" i="1"/>
  <c r="S507" i="1"/>
  <c r="R507" i="1"/>
  <c r="Q507" i="1"/>
  <c r="P507" i="1"/>
  <c r="O507" i="1"/>
  <c r="N507" i="1"/>
  <c r="M507" i="1"/>
  <c r="L507" i="1"/>
  <c r="K507" i="1"/>
  <c r="X506" i="1"/>
  <c r="U506" i="1"/>
  <c r="T506" i="1"/>
  <c r="S506" i="1"/>
  <c r="R506" i="1"/>
  <c r="Q506" i="1"/>
  <c r="P506" i="1"/>
  <c r="O506" i="1"/>
  <c r="N506" i="1"/>
  <c r="M506" i="1"/>
  <c r="L506" i="1"/>
  <c r="K506" i="1"/>
  <c r="X505" i="1"/>
  <c r="U505" i="1"/>
  <c r="T505" i="1"/>
  <c r="S505" i="1"/>
  <c r="R505" i="1"/>
  <c r="Q505" i="1"/>
  <c r="P505" i="1"/>
  <c r="O505" i="1"/>
  <c r="N505" i="1"/>
  <c r="M505" i="1"/>
  <c r="L505" i="1"/>
  <c r="K505" i="1"/>
  <c r="X504" i="1"/>
  <c r="U504" i="1"/>
  <c r="T504" i="1"/>
  <c r="S504" i="1"/>
  <c r="R504" i="1"/>
  <c r="Q504" i="1"/>
  <c r="P504" i="1"/>
  <c r="O504" i="1"/>
  <c r="N504" i="1"/>
  <c r="M504" i="1"/>
  <c r="L504" i="1"/>
  <c r="K504" i="1"/>
  <c r="X503" i="1"/>
  <c r="U503" i="1"/>
  <c r="T503" i="1"/>
  <c r="S503" i="1"/>
  <c r="R503" i="1"/>
  <c r="Q503" i="1"/>
  <c r="P503" i="1"/>
  <c r="O503" i="1"/>
  <c r="N503" i="1"/>
  <c r="M503" i="1"/>
  <c r="L503" i="1"/>
  <c r="K503" i="1"/>
  <c r="X502" i="1"/>
  <c r="U502" i="1"/>
  <c r="T502" i="1"/>
  <c r="S502" i="1"/>
  <c r="R502" i="1"/>
  <c r="Q502" i="1"/>
  <c r="P502" i="1"/>
  <c r="O502" i="1"/>
  <c r="N502" i="1"/>
  <c r="M502" i="1"/>
  <c r="L502" i="1"/>
  <c r="K502" i="1"/>
  <c r="X501" i="1"/>
  <c r="U501" i="1"/>
  <c r="T501" i="1"/>
  <c r="S501" i="1"/>
  <c r="R501" i="1"/>
  <c r="Q501" i="1"/>
  <c r="P501" i="1"/>
  <c r="O501" i="1"/>
  <c r="N501" i="1"/>
  <c r="M501" i="1"/>
  <c r="L501" i="1"/>
  <c r="K501" i="1"/>
  <c r="X500" i="1"/>
  <c r="U500" i="1"/>
  <c r="T500" i="1"/>
  <c r="S500" i="1"/>
  <c r="R500" i="1"/>
  <c r="Q500" i="1"/>
  <c r="P500" i="1"/>
  <c r="O500" i="1"/>
  <c r="N500" i="1"/>
  <c r="M500" i="1"/>
  <c r="L500" i="1"/>
  <c r="K500" i="1"/>
  <c r="X499" i="1"/>
  <c r="U499" i="1"/>
  <c r="T499" i="1"/>
  <c r="S499" i="1"/>
  <c r="R499" i="1"/>
  <c r="Q499" i="1"/>
  <c r="P499" i="1"/>
  <c r="O499" i="1"/>
  <c r="N499" i="1"/>
  <c r="M499" i="1"/>
  <c r="L499" i="1"/>
  <c r="K499" i="1"/>
  <c r="X498" i="1"/>
  <c r="U498" i="1"/>
  <c r="T498" i="1"/>
  <c r="S498" i="1"/>
  <c r="R498" i="1"/>
  <c r="Q498" i="1"/>
  <c r="P498" i="1"/>
  <c r="O498" i="1"/>
  <c r="N498" i="1"/>
  <c r="M498" i="1"/>
  <c r="L498" i="1"/>
  <c r="K498" i="1"/>
  <c r="X497" i="1"/>
  <c r="U497" i="1"/>
  <c r="T497" i="1"/>
  <c r="S497" i="1"/>
  <c r="R497" i="1"/>
  <c r="Q497" i="1"/>
  <c r="P497" i="1"/>
  <c r="O497" i="1"/>
  <c r="N497" i="1"/>
  <c r="M497" i="1"/>
  <c r="L497" i="1"/>
  <c r="K497" i="1"/>
  <c r="X496" i="1"/>
  <c r="U496" i="1"/>
  <c r="T496" i="1"/>
  <c r="S496" i="1"/>
  <c r="R496" i="1"/>
  <c r="Q496" i="1"/>
  <c r="P496" i="1"/>
  <c r="O496" i="1"/>
  <c r="N496" i="1"/>
  <c r="M496" i="1"/>
  <c r="L496" i="1"/>
  <c r="K496" i="1"/>
  <c r="X495" i="1"/>
  <c r="U495" i="1"/>
  <c r="T495" i="1"/>
  <c r="S495" i="1"/>
  <c r="R495" i="1"/>
  <c r="Q495" i="1"/>
  <c r="P495" i="1"/>
  <c r="O495" i="1"/>
  <c r="N495" i="1"/>
  <c r="M495" i="1"/>
  <c r="L495" i="1"/>
  <c r="K495" i="1"/>
  <c r="X494" i="1"/>
  <c r="U494" i="1"/>
  <c r="T494" i="1"/>
  <c r="S494" i="1"/>
  <c r="R494" i="1"/>
  <c r="Q494" i="1"/>
  <c r="P494" i="1"/>
  <c r="O494" i="1"/>
  <c r="N494" i="1"/>
  <c r="M494" i="1"/>
  <c r="L494" i="1"/>
  <c r="K494" i="1"/>
  <c r="X493" i="1"/>
  <c r="U493" i="1"/>
  <c r="T493" i="1"/>
  <c r="S493" i="1"/>
  <c r="R493" i="1"/>
  <c r="Q493" i="1"/>
  <c r="P493" i="1"/>
  <c r="O493" i="1"/>
  <c r="N493" i="1"/>
  <c r="M493" i="1"/>
  <c r="L493" i="1"/>
  <c r="K493" i="1"/>
  <c r="X492" i="1"/>
  <c r="U492" i="1"/>
  <c r="T492" i="1"/>
  <c r="S492" i="1"/>
  <c r="R492" i="1"/>
  <c r="Q492" i="1"/>
  <c r="P492" i="1"/>
  <c r="O492" i="1"/>
  <c r="N492" i="1"/>
  <c r="M492" i="1"/>
  <c r="L492" i="1"/>
  <c r="K492" i="1"/>
  <c r="X491" i="1"/>
  <c r="U491" i="1"/>
  <c r="T491" i="1"/>
  <c r="S491" i="1"/>
  <c r="R491" i="1"/>
  <c r="Q491" i="1"/>
  <c r="P491" i="1"/>
  <c r="O491" i="1"/>
  <c r="N491" i="1"/>
  <c r="M491" i="1"/>
  <c r="L491" i="1"/>
  <c r="K491" i="1"/>
  <c r="X490" i="1"/>
  <c r="U490" i="1"/>
  <c r="T490" i="1"/>
  <c r="S490" i="1"/>
  <c r="R490" i="1"/>
  <c r="Q490" i="1"/>
  <c r="P490" i="1"/>
  <c r="O490" i="1"/>
  <c r="N490" i="1"/>
  <c r="M490" i="1"/>
  <c r="L490" i="1"/>
  <c r="K490" i="1"/>
  <c r="X489" i="1"/>
  <c r="U489" i="1"/>
  <c r="T489" i="1"/>
  <c r="S489" i="1"/>
  <c r="R489" i="1"/>
  <c r="Q489" i="1"/>
  <c r="P489" i="1"/>
  <c r="O489" i="1"/>
  <c r="N489" i="1"/>
  <c r="M489" i="1"/>
  <c r="L489" i="1"/>
  <c r="K489" i="1"/>
  <c r="X488" i="1"/>
  <c r="U488" i="1"/>
  <c r="T488" i="1"/>
  <c r="S488" i="1"/>
  <c r="R488" i="1"/>
  <c r="Q488" i="1"/>
  <c r="P488" i="1"/>
  <c r="O488" i="1"/>
  <c r="N488" i="1"/>
  <c r="M488" i="1"/>
  <c r="L488" i="1"/>
  <c r="K488" i="1"/>
  <c r="X487" i="1"/>
  <c r="U487" i="1"/>
  <c r="T487" i="1"/>
  <c r="S487" i="1"/>
  <c r="R487" i="1"/>
  <c r="Q487" i="1"/>
  <c r="P487" i="1"/>
  <c r="O487" i="1"/>
  <c r="N487" i="1"/>
  <c r="M487" i="1"/>
  <c r="L487" i="1"/>
  <c r="K487" i="1"/>
  <c r="X486" i="1"/>
  <c r="U486" i="1"/>
  <c r="T486" i="1"/>
  <c r="S486" i="1"/>
  <c r="R486" i="1"/>
  <c r="Q486" i="1"/>
  <c r="P486" i="1"/>
  <c r="O486" i="1"/>
  <c r="N486" i="1"/>
  <c r="M486" i="1"/>
  <c r="L486" i="1"/>
  <c r="K486" i="1"/>
  <c r="X485" i="1"/>
  <c r="U485" i="1"/>
  <c r="T485" i="1"/>
  <c r="S485" i="1"/>
  <c r="R485" i="1"/>
  <c r="Q485" i="1"/>
  <c r="P485" i="1"/>
  <c r="O485" i="1"/>
  <c r="N485" i="1"/>
  <c r="M485" i="1"/>
  <c r="L485" i="1"/>
  <c r="K485" i="1"/>
  <c r="X484" i="1"/>
  <c r="U484" i="1"/>
  <c r="T484" i="1"/>
  <c r="S484" i="1"/>
  <c r="R484" i="1"/>
  <c r="Q484" i="1"/>
  <c r="P484" i="1"/>
  <c r="O484" i="1"/>
  <c r="N484" i="1"/>
  <c r="M484" i="1"/>
  <c r="L484" i="1"/>
  <c r="K484" i="1"/>
  <c r="X483" i="1"/>
  <c r="U483" i="1"/>
  <c r="T483" i="1"/>
  <c r="S483" i="1"/>
  <c r="R483" i="1"/>
  <c r="Q483" i="1"/>
  <c r="P483" i="1"/>
  <c r="O483" i="1"/>
  <c r="N483" i="1"/>
  <c r="M483" i="1"/>
  <c r="L483" i="1"/>
  <c r="K483" i="1"/>
  <c r="X482" i="1"/>
  <c r="U482" i="1"/>
  <c r="T482" i="1"/>
  <c r="S482" i="1"/>
  <c r="R482" i="1"/>
  <c r="Q482" i="1"/>
  <c r="P482" i="1"/>
  <c r="O482" i="1"/>
  <c r="N482" i="1"/>
  <c r="M482" i="1"/>
  <c r="L482" i="1"/>
  <c r="K482" i="1"/>
  <c r="X481" i="1"/>
  <c r="U481" i="1"/>
  <c r="T481" i="1"/>
  <c r="S481" i="1"/>
  <c r="R481" i="1"/>
  <c r="Q481" i="1"/>
  <c r="P481" i="1"/>
  <c r="O481" i="1"/>
  <c r="N481" i="1"/>
  <c r="M481" i="1"/>
  <c r="L481" i="1"/>
  <c r="K481" i="1"/>
  <c r="X480" i="1"/>
  <c r="U480" i="1"/>
  <c r="T480" i="1"/>
  <c r="S480" i="1"/>
  <c r="R480" i="1"/>
  <c r="Q480" i="1"/>
  <c r="P480" i="1"/>
  <c r="O480" i="1"/>
  <c r="N480" i="1"/>
  <c r="M480" i="1"/>
  <c r="L480" i="1"/>
  <c r="K480" i="1"/>
  <c r="X479" i="1"/>
  <c r="U479" i="1"/>
  <c r="T479" i="1"/>
  <c r="S479" i="1"/>
  <c r="R479" i="1"/>
  <c r="Q479" i="1"/>
  <c r="P479" i="1"/>
  <c r="O479" i="1"/>
  <c r="N479" i="1"/>
  <c r="M479" i="1"/>
  <c r="L479" i="1"/>
  <c r="K479" i="1"/>
  <c r="X478" i="1"/>
  <c r="U478" i="1"/>
  <c r="T478" i="1"/>
  <c r="S478" i="1"/>
  <c r="R478" i="1"/>
  <c r="Q478" i="1"/>
  <c r="P478" i="1"/>
  <c r="O478" i="1"/>
  <c r="N478" i="1"/>
  <c r="M478" i="1"/>
  <c r="L478" i="1"/>
  <c r="K478" i="1"/>
  <c r="X477" i="1"/>
  <c r="U477" i="1"/>
  <c r="T477" i="1"/>
  <c r="S477" i="1"/>
  <c r="R477" i="1"/>
  <c r="Q477" i="1"/>
  <c r="P477" i="1"/>
  <c r="O477" i="1"/>
  <c r="N477" i="1"/>
  <c r="M477" i="1"/>
  <c r="L477" i="1"/>
  <c r="K477" i="1"/>
  <c r="X476" i="1"/>
  <c r="U476" i="1"/>
  <c r="T476" i="1"/>
  <c r="S476" i="1"/>
  <c r="R476" i="1"/>
  <c r="Q476" i="1"/>
  <c r="P476" i="1"/>
  <c r="O476" i="1"/>
  <c r="N476" i="1"/>
  <c r="M476" i="1"/>
  <c r="L476" i="1"/>
  <c r="K476" i="1"/>
  <c r="X475" i="1"/>
  <c r="U475" i="1"/>
  <c r="T475" i="1"/>
  <c r="S475" i="1"/>
  <c r="R475" i="1"/>
  <c r="Q475" i="1"/>
  <c r="P475" i="1"/>
  <c r="O475" i="1"/>
  <c r="N475" i="1"/>
  <c r="M475" i="1"/>
  <c r="L475" i="1"/>
  <c r="K475" i="1"/>
  <c r="X474" i="1"/>
  <c r="U474" i="1"/>
  <c r="T474" i="1"/>
  <c r="S474" i="1"/>
  <c r="R474" i="1"/>
  <c r="Q474" i="1"/>
  <c r="P474" i="1"/>
  <c r="O474" i="1"/>
  <c r="N474" i="1"/>
  <c r="M474" i="1"/>
  <c r="L474" i="1"/>
  <c r="K474" i="1"/>
  <c r="X473" i="1"/>
  <c r="U473" i="1"/>
  <c r="T473" i="1"/>
  <c r="S473" i="1"/>
  <c r="R473" i="1"/>
  <c r="Q473" i="1"/>
  <c r="P473" i="1"/>
  <c r="O473" i="1"/>
  <c r="N473" i="1"/>
  <c r="M473" i="1"/>
  <c r="L473" i="1"/>
  <c r="K473" i="1"/>
  <c r="X472" i="1"/>
  <c r="U472" i="1"/>
  <c r="T472" i="1"/>
  <c r="S472" i="1"/>
  <c r="R472" i="1"/>
  <c r="Q472" i="1"/>
  <c r="P472" i="1"/>
  <c r="O472" i="1"/>
  <c r="N472" i="1"/>
  <c r="M472" i="1"/>
  <c r="L472" i="1"/>
  <c r="K472" i="1"/>
  <c r="X471" i="1"/>
  <c r="U471" i="1"/>
  <c r="T471" i="1"/>
  <c r="S471" i="1"/>
  <c r="R471" i="1"/>
  <c r="Q471" i="1"/>
  <c r="P471" i="1"/>
  <c r="O471" i="1"/>
  <c r="N471" i="1"/>
  <c r="M471" i="1"/>
  <c r="L471" i="1"/>
  <c r="K471" i="1"/>
  <c r="X470" i="1"/>
  <c r="U470" i="1"/>
  <c r="T470" i="1"/>
  <c r="S470" i="1"/>
  <c r="R470" i="1"/>
  <c r="Q470" i="1"/>
  <c r="P470" i="1"/>
  <c r="O470" i="1"/>
  <c r="N470" i="1"/>
  <c r="M470" i="1"/>
  <c r="L470" i="1"/>
  <c r="K470" i="1"/>
  <c r="X469" i="1"/>
  <c r="U469" i="1"/>
  <c r="T469" i="1"/>
  <c r="S469" i="1"/>
  <c r="R469" i="1"/>
  <c r="Q469" i="1"/>
  <c r="P469" i="1"/>
  <c r="O469" i="1"/>
  <c r="N469" i="1"/>
  <c r="M469" i="1"/>
  <c r="L469" i="1"/>
  <c r="K469" i="1"/>
  <c r="X468" i="1"/>
  <c r="U468" i="1"/>
  <c r="T468" i="1"/>
  <c r="S468" i="1"/>
  <c r="R468" i="1"/>
  <c r="Q468" i="1"/>
  <c r="P468" i="1"/>
  <c r="O468" i="1"/>
  <c r="N468" i="1"/>
  <c r="M468" i="1"/>
  <c r="L468" i="1"/>
  <c r="K468" i="1"/>
  <c r="X467" i="1"/>
  <c r="U467" i="1"/>
  <c r="T467" i="1"/>
  <c r="S467" i="1"/>
  <c r="R467" i="1"/>
  <c r="Q467" i="1"/>
  <c r="P467" i="1"/>
  <c r="O467" i="1"/>
  <c r="N467" i="1"/>
  <c r="M467" i="1"/>
  <c r="L467" i="1"/>
  <c r="K467" i="1"/>
  <c r="X466" i="1"/>
  <c r="U466" i="1"/>
  <c r="T466" i="1"/>
  <c r="S466" i="1"/>
  <c r="R466" i="1"/>
  <c r="Q466" i="1"/>
  <c r="P466" i="1"/>
  <c r="O466" i="1"/>
  <c r="N466" i="1"/>
  <c r="M466" i="1"/>
  <c r="L466" i="1"/>
  <c r="K466" i="1"/>
  <c r="X465" i="1"/>
  <c r="U465" i="1"/>
  <c r="T465" i="1"/>
  <c r="S465" i="1"/>
  <c r="R465" i="1"/>
  <c r="Q465" i="1"/>
  <c r="P465" i="1"/>
  <c r="O465" i="1"/>
  <c r="N465" i="1"/>
  <c r="M465" i="1"/>
  <c r="L465" i="1"/>
  <c r="K465" i="1"/>
  <c r="X464" i="1"/>
  <c r="U464" i="1"/>
  <c r="T464" i="1"/>
  <c r="S464" i="1"/>
  <c r="R464" i="1"/>
  <c r="Q464" i="1"/>
  <c r="P464" i="1"/>
  <c r="O464" i="1"/>
  <c r="N464" i="1"/>
  <c r="M464" i="1"/>
  <c r="L464" i="1"/>
  <c r="K464" i="1"/>
  <c r="X463" i="1"/>
  <c r="U463" i="1"/>
  <c r="T463" i="1"/>
  <c r="S463" i="1"/>
  <c r="R463" i="1"/>
  <c r="Q463" i="1"/>
  <c r="P463" i="1"/>
  <c r="O463" i="1"/>
  <c r="N463" i="1"/>
  <c r="M463" i="1"/>
  <c r="L463" i="1"/>
  <c r="K463" i="1"/>
  <c r="X462" i="1"/>
  <c r="U462" i="1"/>
  <c r="T462" i="1"/>
  <c r="S462" i="1"/>
  <c r="R462" i="1"/>
  <c r="Q462" i="1"/>
  <c r="P462" i="1"/>
  <c r="O462" i="1"/>
  <c r="N462" i="1"/>
  <c r="M462" i="1"/>
  <c r="L462" i="1"/>
  <c r="K462" i="1"/>
  <c r="X461" i="1"/>
  <c r="U461" i="1"/>
  <c r="T461" i="1"/>
  <c r="S461" i="1"/>
  <c r="R461" i="1"/>
  <c r="Q461" i="1"/>
  <c r="P461" i="1"/>
  <c r="O461" i="1"/>
  <c r="N461" i="1"/>
  <c r="M461" i="1"/>
  <c r="L461" i="1"/>
  <c r="K461" i="1"/>
  <c r="X460" i="1"/>
  <c r="U460" i="1"/>
  <c r="T460" i="1"/>
  <c r="S460" i="1"/>
  <c r="R460" i="1"/>
  <c r="Q460" i="1"/>
  <c r="P460" i="1"/>
  <c r="O460" i="1"/>
  <c r="N460" i="1"/>
  <c r="M460" i="1"/>
  <c r="L460" i="1"/>
  <c r="K460" i="1"/>
  <c r="X459" i="1"/>
  <c r="U459" i="1"/>
  <c r="T459" i="1"/>
  <c r="S459" i="1"/>
  <c r="R459" i="1"/>
  <c r="Q459" i="1"/>
  <c r="P459" i="1"/>
  <c r="O459" i="1"/>
  <c r="N459" i="1"/>
  <c r="M459" i="1"/>
  <c r="L459" i="1"/>
  <c r="K459" i="1"/>
  <c r="X458" i="1"/>
  <c r="U458" i="1"/>
  <c r="T458" i="1"/>
  <c r="S458" i="1"/>
  <c r="R458" i="1"/>
  <c r="Q458" i="1"/>
  <c r="P458" i="1"/>
  <c r="O458" i="1"/>
  <c r="N458" i="1"/>
  <c r="M458" i="1"/>
  <c r="L458" i="1"/>
  <c r="K458" i="1"/>
  <c r="X457" i="1"/>
  <c r="U457" i="1"/>
  <c r="T457" i="1"/>
  <c r="S457" i="1"/>
  <c r="R457" i="1"/>
  <c r="Q457" i="1"/>
  <c r="P457" i="1"/>
  <c r="O457" i="1"/>
  <c r="N457" i="1"/>
  <c r="M457" i="1"/>
  <c r="L457" i="1"/>
  <c r="K457" i="1"/>
  <c r="X456" i="1"/>
  <c r="U456" i="1"/>
  <c r="T456" i="1"/>
  <c r="S456" i="1"/>
  <c r="R456" i="1"/>
  <c r="Q456" i="1"/>
  <c r="P456" i="1"/>
  <c r="O456" i="1"/>
  <c r="N456" i="1"/>
  <c r="M456" i="1"/>
  <c r="L456" i="1"/>
  <c r="K456" i="1"/>
  <c r="X455" i="1"/>
  <c r="U455" i="1"/>
  <c r="T455" i="1"/>
  <c r="S455" i="1"/>
  <c r="R455" i="1"/>
  <c r="Q455" i="1"/>
  <c r="P455" i="1"/>
  <c r="O455" i="1"/>
  <c r="N455" i="1"/>
  <c r="M455" i="1"/>
  <c r="L455" i="1"/>
  <c r="K455" i="1"/>
  <c r="X454" i="1"/>
  <c r="U454" i="1"/>
  <c r="T454" i="1"/>
  <c r="S454" i="1"/>
  <c r="R454" i="1"/>
  <c r="Q454" i="1"/>
  <c r="P454" i="1"/>
  <c r="O454" i="1"/>
  <c r="N454" i="1"/>
  <c r="M454" i="1"/>
  <c r="L454" i="1"/>
  <c r="K454" i="1"/>
  <c r="X453" i="1"/>
  <c r="U453" i="1"/>
  <c r="T453" i="1"/>
  <c r="S453" i="1"/>
  <c r="R453" i="1"/>
  <c r="Q453" i="1"/>
  <c r="P453" i="1"/>
  <c r="O453" i="1"/>
  <c r="N453" i="1"/>
  <c r="M453" i="1"/>
  <c r="L453" i="1"/>
  <c r="K453" i="1"/>
  <c r="X452" i="1"/>
  <c r="U452" i="1"/>
  <c r="T452" i="1"/>
  <c r="S452" i="1"/>
  <c r="R452" i="1"/>
  <c r="Q452" i="1"/>
  <c r="P452" i="1"/>
  <c r="O452" i="1"/>
  <c r="N452" i="1"/>
  <c r="M452" i="1"/>
  <c r="L452" i="1"/>
  <c r="K452" i="1"/>
  <c r="X451" i="1"/>
  <c r="U451" i="1"/>
  <c r="T451" i="1"/>
  <c r="S451" i="1"/>
  <c r="R451" i="1"/>
  <c r="Q451" i="1"/>
  <c r="P451" i="1"/>
  <c r="O451" i="1"/>
  <c r="N451" i="1"/>
  <c r="M451" i="1"/>
  <c r="L451" i="1"/>
  <c r="K451" i="1"/>
  <c r="X450" i="1"/>
  <c r="U450" i="1"/>
  <c r="T450" i="1"/>
  <c r="S450" i="1"/>
  <c r="R450" i="1"/>
  <c r="Q450" i="1"/>
  <c r="P450" i="1"/>
  <c r="O450" i="1"/>
  <c r="N450" i="1"/>
  <c r="M450" i="1"/>
  <c r="L450" i="1"/>
  <c r="K450" i="1"/>
  <c r="X449" i="1"/>
  <c r="U449" i="1"/>
  <c r="T449" i="1"/>
  <c r="S449" i="1"/>
  <c r="R449" i="1"/>
  <c r="Q449" i="1"/>
  <c r="P449" i="1"/>
  <c r="O449" i="1"/>
  <c r="N449" i="1"/>
  <c r="M449" i="1"/>
  <c r="L449" i="1"/>
  <c r="K449" i="1"/>
  <c r="X448" i="1"/>
  <c r="U448" i="1"/>
  <c r="T448" i="1"/>
  <c r="S448" i="1"/>
  <c r="R448" i="1"/>
  <c r="Q448" i="1"/>
  <c r="P448" i="1"/>
  <c r="O448" i="1"/>
  <c r="N448" i="1"/>
  <c r="M448" i="1"/>
  <c r="L448" i="1"/>
  <c r="K448" i="1"/>
  <c r="X447" i="1"/>
  <c r="U447" i="1"/>
  <c r="T447" i="1"/>
  <c r="S447" i="1"/>
  <c r="R447" i="1"/>
  <c r="Q447" i="1"/>
  <c r="P447" i="1"/>
  <c r="O447" i="1"/>
  <c r="N447" i="1"/>
  <c r="M447" i="1"/>
  <c r="L447" i="1"/>
  <c r="K447" i="1"/>
  <c r="X446" i="1"/>
  <c r="U446" i="1"/>
  <c r="T446" i="1"/>
  <c r="S446" i="1"/>
  <c r="R446" i="1"/>
  <c r="Q446" i="1"/>
  <c r="P446" i="1"/>
  <c r="O446" i="1"/>
  <c r="N446" i="1"/>
  <c r="M446" i="1"/>
  <c r="L446" i="1"/>
  <c r="K446" i="1"/>
  <c r="X445" i="1"/>
  <c r="U445" i="1"/>
  <c r="T445" i="1"/>
  <c r="S445" i="1"/>
  <c r="R445" i="1"/>
  <c r="Q445" i="1"/>
  <c r="P445" i="1"/>
  <c r="O445" i="1"/>
  <c r="N445" i="1"/>
  <c r="M445" i="1"/>
  <c r="L445" i="1"/>
  <c r="K445" i="1"/>
  <c r="X444" i="1"/>
  <c r="U444" i="1"/>
  <c r="T444" i="1"/>
  <c r="S444" i="1"/>
  <c r="R444" i="1"/>
  <c r="Q444" i="1"/>
  <c r="P444" i="1"/>
  <c r="O444" i="1"/>
  <c r="N444" i="1"/>
  <c r="M444" i="1"/>
  <c r="L444" i="1"/>
  <c r="K444" i="1"/>
  <c r="X443" i="1"/>
  <c r="U443" i="1"/>
  <c r="T443" i="1"/>
  <c r="S443" i="1"/>
  <c r="R443" i="1"/>
  <c r="Q443" i="1"/>
  <c r="P443" i="1"/>
  <c r="O443" i="1"/>
  <c r="N443" i="1"/>
  <c r="M443" i="1"/>
  <c r="L443" i="1"/>
  <c r="K443" i="1"/>
  <c r="X442" i="1"/>
  <c r="U442" i="1"/>
  <c r="T442" i="1"/>
  <c r="S442" i="1"/>
  <c r="R442" i="1"/>
  <c r="Q442" i="1"/>
  <c r="P442" i="1"/>
  <c r="O442" i="1"/>
  <c r="N442" i="1"/>
  <c r="M442" i="1"/>
  <c r="L442" i="1"/>
  <c r="K442" i="1"/>
  <c r="X441" i="1"/>
  <c r="U441" i="1"/>
  <c r="T441" i="1"/>
  <c r="S441" i="1"/>
  <c r="R441" i="1"/>
  <c r="Q441" i="1"/>
  <c r="P441" i="1"/>
  <c r="O441" i="1"/>
  <c r="N441" i="1"/>
  <c r="M441" i="1"/>
  <c r="L441" i="1"/>
  <c r="K441" i="1"/>
  <c r="X440" i="1"/>
  <c r="U440" i="1"/>
  <c r="T440" i="1"/>
  <c r="S440" i="1"/>
  <c r="R440" i="1"/>
  <c r="Q440" i="1"/>
  <c r="P440" i="1"/>
  <c r="O440" i="1"/>
  <c r="N440" i="1"/>
  <c r="M440" i="1"/>
  <c r="L440" i="1"/>
  <c r="K440" i="1"/>
  <c r="X439" i="1"/>
  <c r="U439" i="1"/>
  <c r="T439" i="1"/>
  <c r="S439" i="1"/>
  <c r="R439" i="1"/>
  <c r="Q439" i="1"/>
  <c r="P439" i="1"/>
  <c r="O439" i="1"/>
  <c r="N439" i="1"/>
  <c r="M439" i="1"/>
  <c r="L439" i="1"/>
  <c r="K439" i="1"/>
  <c r="X438" i="1"/>
  <c r="U438" i="1"/>
  <c r="T438" i="1"/>
  <c r="S438" i="1"/>
  <c r="R438" i="1"/>
  <c r="Q438" i="1"/>
  <c r="P438" i="1"/>
  <c r="O438" i="1"/>
  <c r="N438" i="1"/>
  <c r="M438" i="1"/>
  <c r="L438" i="1"/>
  <c r="K438" i="1"/>
  <c r="X437" i="1"/>
  <c r="U437" i="1"/>
  <c r="T437" i="1"/>
  <c r="S437" i="1"/>
  <c r="R437" i="1"/>
  <c r="Q437" i="1"/>
  <c r="P437" i="1"/>
  <c r="O437" i="1"/>
  <c r="N437" i="1"/>
  <c r="M437" i="1"/>
  <c r="L437" i="1"/>
  <c r="K437" i="1"/>
  <c r="X436" i="1"/>
  <c r="U436" i="1"/>
  <c r="T436" i="1"/>
  <c r="S436" i="1"/>
  <c r="R436" i="1"/>
  <c r="Q436" i="1"/>
  <c r="P436" i="1"/>
  <c r="O436" i="1"/>
  <c r="N436" i="1"/>
  <c r="M436" i="1"/>
  <c r="L436" i="1"/>
  <c r="K436" i="1"/>
  <c r="X435" i="1"/>
  <c r="U435" i="1"/>
  <c r="T435" i="1"/>
  <c r="S435" i="1"/>
  <c r="R435" i="1"/>
  <c r="Q435" i="1"/>
  <c r="P435" i="1"/>
  <c r="O435" i="1"/>
  <c r="N435" i="1"/>
  <c r="M435" i="1"/>
  <c r="L435" i="1"/>
  <c r="K435" i="1"/>
  <c r="X434" i="1"/>
  <c r="U434" i="1"/>
  <c r="T434" i="1"/>
  <c r="S434" i="1"/>
  <c r="R434" i="1"/>
  <c r="Q434" i="1"/>
  <c r="P434" i="1"/>
  <c r="O434" i="1"/>
  <c r="N434" i="1"/>
  <c r="M434" i="1"/>
  <c r="L434" i="1"/>
  <c r="K434" i="1"/>
  <c r="X433" i="1"/>
  <c r="U433" i="1"/>
  <c r="T433" i="1"/>
  <c r="S433" i="1"/>
  <c r="R433" i="1"/>
  <c r="Q433" i="1"/>
  <c r="P433" i="1"/>
  <c r="O433" i="1"/>
  <c r="N433" i="1"/>
  <c r="M433" i="1"/>
  <c r="L433" i="1"/>
  <c r="K433" i="1"/>
  <c r="X432" i="1"/>
  <c r="U432" i="1"/>
  <c r="T432" i="1"/>
  <c r="S432" i="1"/>
  <c r="R432" i="1"/>
  <c r="Q432" i="1"/>
  <c r="P432" i="1"/>
  <c r="O432" i="1"/>
  <c r="N432" i="1"/>
  <c r="M432" i="1"/>
  <c r="L432" i="1"/>
  <c r="K432" i="1"/>
  <c r="X431" i="1"/>
  <c r="U431" i="1"/>
  <c r="T431" i="1"/>
  <c r="S431" i="1"/>
  <c r="R431" i="1"/>
  <c r="Q431" i="1"/>
  <c r="P431" i="1"/>
  <c r="O431" i="1"/>
  <c r="N431" i="1"/>
  <c r="M431" i="1"/>
  <c r="L431" i="1"/>
  <c r="K431" i="1"/>
  <c r="X430" i="1"/>
  <c r="U430" i="1"/>
  <c r="T430" i="1"/>
  <c r="S430" i="1"/>
  <c r="R430" i="1"/>
  <c r="Q430" i="1"/>
  <c r="P430" i="1"/>
  <c r="O430" i="1"/>
  <c r="N430" i="1"/>
  <c r="M430" i="1"/>
  <c r="L430" i="1"/>
  <c r="K430" i="1"/>
  <c r="X429" i="1"/>
  <c r="U429" i="1"/>
  <c r="T429" i="1"/>
  <c r="S429" i="1"/>
  <c r="R429" i="1"/>
  <c r="Q429" i="1"/>
  <c r="P429" i="1"/>
  <c r="O429" i="1"/>
  <c r="N429" i="1"/>
  <c r="M429" i="1"/>
  <c r="L429" i="1"/>
  <c r="K429" i="1"/>
  <c r="X428" i="1"/>
  <c r="U428" i="1"/>
  <c r="T428" i="1"/>
  <c r="S428" i="1"/>
  <c r="R428" i="1"/>
  <c r="Q428" i="1"/>
  <c r="P428" i="1"/>
  <c r="O428" i="1"/>
  <c r="N428" i="1"/>
  <c r="M428" i="1"/>
  <c r="L428" i="1"/>
  <c r="K428" i="1"/>
  <c r="X427" i="1"/>
  <c r="U427" i="1"/>
  <c r="T427" i="1"/>
  <c r="S427" i="1"/>
  <c r="R427" i="1"/>
  <c r="Q427" i="1"/>
  <c r="P427" i="1"/>
  <c r="O427" i="1"/>
  <c r="N427" i="1"/>
  <c r="M427" i="1"/>
  <c r="L427" i="1"/>
  <c r="K427" i="1"/>
  <c r="X426" i="1"/>
  <c r="U426" i="1"/>
  <c r="T426" i="1"/>
  <c r="S426" i="1"/>
  <c r="R426" i="1"/>
  <c r="Q426" i="1"/>
  <c r="P426" i="1"/>
  <c r="O426" i="1"/>
  <c r="N426" i="1"/>
  <c r="M426" i="1"/>
  <c r="L426" i="1"/>
  <c r="K426" i="1"/>
  <c r="X425" i="1"/>
  <c r="U425" i="1"/>
  <c r="T425" i="1"/>
  <c r="S425" i="1"/>
  <c r="R425" i="1"/>
  <c r="Q425" i="1"/>
  <c r="P425" i="1"/>
  <c r="O425" i="1"/>
  <c r="N425" i="1"/>
  <c r="M425" i="1"/>
  <c r="L425" i="1"/>
  <c r="K425" i="1"/>
  <c r="X424" i="1"/>
  <c r="U424" i="1"/>
  <c r="T424" i="1"/>
  <c r="S424" i="1"/>
  <c r="R424" i="1"/>
  <c r="Q424" i="1"/>
  <c r="P424" i="1"/>
  <c r="O424" i="1"/>
  <c r="N424" i="1"/>
  <c r="M424" i="1"/>
  <c r="L424" i="1"/>
  <c r="K424" i="1"/>
  <c r="X423" i="1"/>
  <c r="U423" i="1"/>
  <c r="T423" i="1"/>
  <c r="S423" i="1"/>
  <c r="R423" i="1"/>
  <c r="Q423" i="1"/>
  <c r="P423" i="1"/>
  <c r="O423" i="1"/>
  <c r="N423" i="1"/>
  <c r="M423" i="1"/>
  <c r="L423" i="1"/>
  <c r="K423" i="1"/>
  <c r="X422" i="1"/>
  <c r="U422" i="1"/>
  <c r="T422" i="1"/>
  <c r="S422" i="1"/>
  <c r="R422" i="1"/>
  <c r="Q422" i="1"/>
  <c r="P422" i="1"/>
  <c r="O422" i="1"/>
  <c r="N422" i="1"/>
  <c r="M422" i="1"/>
  <c r="L422" i="1"/>
  <c r="K422" i="1"/>
  <c r="X421" i="1"/>
  <c r="U421" i="1"/>
  <c r="T421" i="1"/>
  <c r="S421" i="1"/>
  <c r="R421" i="1"/>
  <c r="Q421" i="1"/>
  <c r="P421" i="1"/>
  <c r="O421" i="1"/>
  <c r="N421" i="1"/>
  <c r="M421" i="1"/>
  <c r="L421" i="1"/>
  <c r="K421" i="1"/>
  <c r="X420" i="1"/>
  <c r="U420" i="1"/>
  <c r="T420" i="1"/>
  <c r="S420" i="1"/>
  <c r="R420" i="1"/>
  <c r="Q420" i="1"/>
  <c r="P420" i="1"/>
  <c r="O420" i="1"/>
  <c r="N420" i="1"/>
  <c r="M420" i="1"/>
  <c r="L420" i="1"/>
  <c r="K420" i="1"/>
  <c r="X419" i="1"/>
  <c r="U419" i="1"/>
  <c r="T419" i="1"/>
  <c r="S419" i="1"/>
  <c r="R419" i="1"/>
  <c r="Q419" i="1"/>
  <c r="P419" i="1"/>
  <c r="O419" i="1"/>
  <c r="N419" i="1"/>
  <c r="M419" i="1"/>
  <c r="L419" i="1"/>
  <c r="K419" i="1"/>
  <c r="X418" i="1"/>
  <c r="U418" i="1"/>
  <c r="T418" i="1"/>
  <c r="S418" i="1"/>
  <c r="R418" i="1"/>
  <c r="Q418" i="1"/>
  <c r="P418" i="1"/>
  <c r="O418" i="1"/>
  <c r="N418" i="1"/>
  <c r="M418" i="1"/>
  <c r="L418" i="1"/>
  <c r="K418" i="1"/>
  <c r="X417" i="1"/>
  <c r="U417" i="1"/>
  <c r="T417" i="1"/>
  <c r="S417" i="1"/>
  <c r="R417" i="1"/>
  <c r="Q417" i="1"/>
  <c r="P417" i="1"/>
  <c r="O417" i="1"/>
  <c r="N417" i="1"/>
  <c r="M417" i="1"/>
  <c r="L417" i="1"/>
  <c r="K417" i="1"/>
  <c r="X416" i="1"/>
  <c r="U416" i="1"/>
  <c r="T416" i="1"/>
  <c r="S416" i="1"/>
  <c r="R416" i="1"/>
  <c r="Q416" i="1"/>
  <c r="P416" i="1"/>
  <c r="O416" i="1"/>
  <c r="N416" i="1"/>
  <c r="M416" i="1"/>
  <c r="L416" i="1"/>
  <c r="K416" i="1"/>
  <c r="X415" i="1"/>
  <c r="U415" i="1"/>
  <c r="T415" i="1"/>
  <c r="S415" i="1"/>
  <c r="R415" i="1"/>
  <c r="Q415" i="1"/>
  <c r="P415" i="1"/>
  <c r="O415" i="1"/>
  <c r="N415" i="1"/>
  <c r="M415" i="1"/>
  <c r="L415" i="1"/>
  <c r="K415" i="1"/>
  <c r="X414" i="1"/>
  <c r="U414" i="1"/>
  <c r="T414" i="1"/>
  <c r="S414" i="1"/>
  <c r="R414" i="1"/>
  <c r="Q414" i="1"/>
  <c r="P414" i="1"/>
  <c r="O414" i="1"/>
  <c r="N414" i="1"/>
  <c r="M414" i="1"/>
  <c r="L414" i="1"/>
  <c r="K414" i="1"/>
  <c r="X413" i="1"/>
  <c r="U413" i="1"/>
  <c r="T413" i="1"/>
  <c r="S413" i="1"/>
  <c r="R413" i="1"/>
  <c r="Q413" i="1"/>
  <c r="P413" i="1"/>
  <c r="O413" i="1"/>
  <c r="N413" i="1"/>
  <c r="M413" i="1"/>
  <c r="L413" i="1"/>
  <c r="K413" i="1"/>
  <c r="X412" i="1"/>
  <c r="U412" i="1"/>
  <c r="T412" i="1"/>
  <c r="S412" i="1"/>
  <c r="R412" i="1"/>
  <c r="Q412" i="1"/>
  <c r="P412" i="1"/>
  <c r="O412" i="1"/>
  <c r="N412" i="1"/>
  <c r="M412" i="1"/>
  <c r="L412" i="1"/>
  <c r="K412" i="1"/>
  <c r="X411" i="1"/>
  <c r="U411" i="1"/>
  <c r="T411" i="1"/>
  <c r="S411" i="1"/>
  <c r="R411" i="1"/>
  <c r="Q411" i="1"/>
  <c r="P411" i="1"/>
  <c r="O411" i="1"/>
  <c r="N411" i="1"/>
  <c r="M411" i="1"/>
  <c r="L411" i="1"/>
  <c r="K411" i="1"/>
  <c r="X410" i="1"/>
  <c r="U410" i="1"/>
  <c r="T410" i="1"/>
  <c r="S410" i="1"/>
  <c r="R410" i="1"/>
  <c r="Q410" i="1"/>
  <c r="P410" i="1"/>
  <c r="O410" i="1"/>
  <c r="N410" i="1"/>
  <c r="M410" i="1"/>
  <c r="L410" i="1"/>
  <c r="K410" i="1"/>
  <c r="X409" i="1"/>
  <c r="U409" i="1"/>
  <c r="T409" i="1"/>
  <c r="S409" i="1"/>
  <c r="R409" i="1"/>
  <c r="Q409" i="1"/>
  <c r="P409" i="1"/>
  <c r="O409" i="1"/>
  <c r="N409" i="1"/>
  <c r="M409" i="1"/>
  <c r="L409" i="1"/>
  <c r="K409" i="1"/>
  <c r="X408" i="1"/>
  <c r="U408" i="1"/>
  <c r="T408" i="1"/>
  <c r="S408" i="1"/>
  <c r="R408" i="1"/>
  <c r="Q408" i="1"/>
  <c r="P408" i="1"/>
  <c r="O408" i="1"/>
  <c r="N408" i="1"/>
  <c r="M408" i="1"/>
  <c r="L408" i="1"/>
  <c r="K408" i="1"/>
  <c r="X407" i="1"/>
  <c r="U407" i="1"/>
  <c r="T407" i="1"/>
  <c r="S407" i="1"/>
  <c r="R407" i="1"/>
  <c r="Q407" i="1"/>
  <c r="P407" i="1"/>
  <c r="O407" i="1"/>
  <c r="N407" i="1"/>
  <c r="M407" i="1"/>
  <c r="L407" i="1"/>
  <c r="K407" i="1"/>
  <c r="X406" i="1"/>
  <c r="U406" i="1"/>
  <c r="T406" i="1"/>
  <c r="S406" i="1"/>
  <c r="R406" i="1"/>
  <c r="Q406" i="1"/>
  <c r="P406" i="1"/>
  <c r="O406" i="1"/>
  <c r="N406" i="1"/>
  <c r="M406" i="1"/>
  <c r="L406" i="1"/>
  <c r="K406" i="1"/>
  <c r="X405" i="1"/>
  <c r="U405" i="1"/>
  <c r="T405" i="1"/>
  <c r="S405" i="1"/>
  <c r="R405" i="1"/>
  <c r="Q405" i="1"/>
  <c r="P405" i="1"/>
  <c r="O405" i="1"/>
  <c r="N405" i="1"/>
  <c r="M405" i="1"/>
  <c r="L405" i="1"/>
  <c r="K405" i="1"/>
  <c r="X404" i="1"/>
  <c r="U404" i="1"/>
  <c r="T404" i="1"/>
  <c r="S404" i="1"/>
  <c r="R404" i="1"/>
  <c r="Q404" i="1"/>
  <c r="P404" i="1"/>
  <c r="O404" i="1"/>
  <c r="N404" i="1"/>
  <c r="M404" i="1"/>
  <c r="L404" i="1"/>
  <c r="K404" i="1"/>
  <c r="X403" i="1"/>
  <c r="U403" i="1"/>
  <c r="T403" i="1"/>
  <c r="S403" i="1"/>
  <c r="R403" i="1"/>
  <c r="Q403" i="1"/>
  <c r="P403" i="1"/>
  <c r="O403" i="1"/>
  <c r="N403" i="1"/>
  <c r="M403" i="1"/>
  <c r="L403" i="1"/>
  <c r="K403" i="1"/>
  <c r="X402" i="1"/>
  <c r="U402" i="1"/>
  <c r="T402" i="1"/>
  <c r="S402" i="1"/>
  <c r="R402" i="1"/>
  <c r="Q402" i="1"/>
  <c r="P402" i="1"/>
  <c r="O402" i="1"/>
  <c r="N402" i="1"/>
  <c r="M402" i="1"/>
  <c r="L402" i="1"/>
  <c r="K402" i="1"/>
  <c r="X401" i="1"/>
  <c r="U401" i="1"/>
  <c r="T401" i="1"/>
  <c r="S401" i="1"/>
  <c r="R401" i="1"/>
  <c r="Q401" i="1"/>
  <c r="P401" i="1"/>
  <c r="O401" i="1"/>
  <c r="N401" i="1"/>
  <c r="M401" i="1"/>
  <c r="L401" i="1"/>
  <c r="K401" i="1"/>
  <c r="X400" i="1"/>
  <c r="U400" i="1"/>
  <c r="T400" i="1"/>
  <c r="S400" i="1"/>
  <c r="R400" i="1"/>
  <c r="Q400" i="1"/>
  <c r="P400" i="1"/>
  <c r="O400" i="1"/>
  <c r="N400" i="1"/>
  <c r="M400" i="1"/>
  <c r="L400" i="1"/>
  <c r="K400" i="1"/>
  <c r="X399" i="1"/>
  <c r="U399" i="1"/>
  <c r="T399" i="1"/>
  <c r="S399" i="1"/>
  <c r="R399" i="1"/>
  <c r="Q399" i="1"/>
  <c r="P399" i="1"/>
  <c r="O399" i="1"/>
  <c r="N399" i="1"/>
  <c r="M399" i="1"/>
  <c r="L399" i="1"/>
  <c r="K399" i="1"/>
  <c r="X398" i="1"/>
  <c r="U398" i="1"/>
  <c r="T398" i="1"/>
  <c r="S398" i="1"/>
  <c r="R398" i="1"/>
  <c r="Q398" i="1"/>
  <c r="P398" i="1"/>
  <c r="O398" i="1"/>
  <c r="N398" i="1"/>
  <c r="M398" i="1"/>
  <c r="L398" i="1"/>
  <c r="K398" i="1"/>
  <c r="X397" i="1"/>
  <c r="U397" i="1"/>
  <c r="T397" i="1"/>
  <c r="S397" i="1"/>
  <c r="R397" i="1"/>
  <c r="Q397" i="1"/>
  <c r="P397" i="1"/>
  <c r="O397" i="1"/>
  <c r="N397" i="1"/>
  <c r="M397" i="1"/>
  <c r="L397" i="1"/>
  <c r="K397" i="1"/>
  <c r="X396" i="1"/>
  <c r="U396" i="1"/>
  <c r="T396" i="1"/>
  <c r="S396" i="1"/>
  <c r="R396" i="1"/>
  <c r="Q396" i="1"/>
  <c r="P396" i="1"/>
  <c r="O396" i="1"/>
  <c r="N396" i="1"/>
  <c r="M396" i="1"/>
  <c r="L396" i="1"/>
  <c r="K396" i="1"/>
  <c r="X395" i="1"/>
  <c r="U395" i="1"/>
  <c r="T395" i="1"/>
  <c r="S395" i="1"/>
  <c r="R395" i="1"/>
  <c r="Q395" i="1"/>
  <c r="P395" i="1"/>
  <c r="O395" i="1"/>
  <c r="N395" i="1"/>
  <c r="M395" i="1"/>
  <c r="L395" i="1"/>
  <c r="K395" i="1"/>
  <c r="X394" i="1"/>
  <c r="U394" i="1"/>
  <c r="T394" i="1"/>
  <c r="S394" i="1"/>
  <c r="R394" i="1"/>
  <c r="Q394" i="1"/>
  <c r="P394" i="1"/>
  <c r="O394" i="1"/>
  <c r="N394" i="1"/>
  <c r="M394" i="1"/>
  <c r="L394" i="1"/>
  <c r="K394" i="1"/>
  <c r="X393" i="1"/>
  <c r="U393" i="1"/>
  <c r="T393" i="1"/>
  <c r="S393" i="1"/>
  <c r="R393" i="1"/>
  <c r="Q393" i="1"/>
  <c r="P393" i="1"/>
  <c r="O393" i="1"/>
  <c r="N393" i="1"/>
  <c r="M393" i="1"/>
  <c r="L393" i="1"/>
  <c r="K393" i="1"/>
  <c r="X392" i="1"/>
  <c r="U392" i="1"/>
  <c r="T392" i="1"/>
  <c r="S392" i="1"/>
  <c r="R392" i="1"/>
  <c r="Q392" i="1"/>
  <c r="P392" i="1"/>
  <c r="O392" i="1"/>
  <c r="N392" i="1"/>
  <c r="M392" i="1"/>
  <c r="L392" i="1"/>
  <c r="K392" i="1"/>
  <c r="X391" i="1"/>
  <c r="U391" i="1"/>
  <c r="T391" i="1"/>
  <c r="S391" i="1"/>
  <c r="R391" i="1"/>
  <c r="Q391" i="1"/>
  <c r="P391" i="1"/>
  <c r="O391" i="1"/>
  <c r="N391" i="1"/>
  <c r="M391" i="1"/>
  <c r="L391" i="1"/>
  <c r="K391" i="1"/>
  <c r="X390" i="1"/>
  <c r="U390" i="1"/>
  <c r="T390" i="1"/>
  <c r="S390" i="1"/>
  <c r="R390" i="1"/>
  <c r="Q390" i="1"/>
  <c r="P390" i="1"/>
  <c r="O390" i="1"/>
  <c r="N390" i="1"/>
  <c r="M390" i="1"/>
  <c r="L390" i="1"/>
  <c r="K390" i="1"/>
  <c r="X389" i="1"/>
  <c r="U389" i="1"/>
  <c r="T389" i="1"/>
  <c r="S389" i="1"/>
  <c r="R389" i="1"/>
  <c r="Q389" i="1"/>
  <c r="P389" i="1"/>
  <c r="O389" i="1"/>
  <c r="N389" i="1"/>
  <c r="M389" i="1"/>
  <c r="L389" i="1"/>
  <c r="K389" i="1"/>
  <c r="X388" i="1"/>
  <c r="U388" i="1"/>
  <c r="T388" i="1"/>
  <c r="S388" i="1"/>
  <c r="R388" i="1"/>
  <c r="Q388" i="1"/>
  <c r="P388" i="1"/>
  <c r="O388" i="1"/>
  <c r="N388" i="1"/>
  <c r="M388" i="1"/>
  <c r="L388" i="1"/>
  <c r="K388" i="1"/>
  <c r="X387" i="1"/>
  <c r="U387" i="1"/>
  <c r="T387" i="1"/>
  <c r="S387" i="1"/>
  <c r="R387" i="1"/>
  <c r="Q387" i="1"/>
  <c r="P387" i="1"/>
  <c r="O387" i="1"/>
  <c r="N387" i="1"/>
  <c r="M387" i="1"/>
  <c r="L387" i="1"/>
  <c r="K387" i="1"/>
  <c r="X386" i="1"/>
  <c r="U386" i="1"/>
  <c r="T386" i="1"/>
  <c r="S386" i="1"/>
  <c r="R386" i="1"/>
  <c r="Q386" i="1"/>
  <c r="P386" i="1"/>
  <c r="O386" i="1"/>
  <c r="N386" i="1"/>
  <c r="M386" i="1"/>
  <c r="L386" i="1"/>
  <c r="K386" i="1"/>
  <c r="X385" i="1"/>
  <c r="U385" i="1"/>
  <c r="T385" i="1"/>
  <c r="S385" i="1"/>
  <c r="R385" i="1"/>
  <c r="Q385" i="1"/>
  <c r="P385" i="1"/>
  <c r="O385" i="1"/>
  <c r="N385" i="1"/>
  <c r="M385" i="1"/>
  <c r="L385" i="1"/>
  <c r="K385" i="1"/>
  <c r="X384" i="1"/>
  <c r="U384" i="1"/>
  <c r="T384" i="1"/>
  <c r="S384" i="1"/>
  <c r="R384" i="1"/>
  <c r="Q384" i="1"/>
  <c r="P384" i="1"/>
  <c r="O384" i="1"/>
  <c r="N384" i="1"/>
  <c r="M384" i="1"/>
  <c r="L384" i="1"/>
  <c r="K384" i="1"/>
  <c r="X383" i="1"/>
  <c r="U383" i="1"/>
  <c r="T383" i="1"/>
  <c r="S383" i="1"/>
  <c r="R383" i="1"/>
  <c r="Q383" i="1"/>
  <c r="P383" i="1"/>
  <c r="O383" i="1"/>
  <c r="N383" i="1"/>
  <c r="M383" i="1"/>
  <c r="L383" i="1"/>
  <c r="K383" i="1"/>
  <c r="X382" i="1"/>
  <c r="U382" i="1"/>
  <c r="T382" i="1"/>
  <c r="S382" i="1"/>
  <c r="R382" i="1"/>
  <c r="Q382" i="1"/>
  <c r="P382" i="1"/>
  <c r="O382" i="1"/>
  <c r="N382" i="1"/>
  <c r="M382" i="1"/>
  <c r="L382" i="1"/>
  <c r="K382" i="1"/>
  <c r="X381" i="1"/>
  <c r="U381" i="1"/>
  <c r="T381" i="1"/>
  <c r="S381" i="1"/>
  <c r="R381" i="1"/>
  <c r="Q381" i="1"/>
  <c r="P381" i="1"/>
  <c r="O381" i="1"/>
  <c r="N381" i="1"/>
  <c r="M381" i="1"/>
  <c r="L381" i="1"/>
  <c r="K381" i="1"/>
  <c r="X380" i="1"/>
  <c r="U380" i="1"/>
  <c r="T380" i="1"/>
  <c r="S380" i="1"/>
  <c r="R380" i="1"/>
  <c r="Q380" i="1"/>
  <c r="P380" i="1"/>
  <c r="O380" i="1"/>
  <c r="N380" i="1"/>
  <c r="M380" i="1"/>
  <c r="L380" i="1"/>
  <c r="K380" i="1"/>
  <c r="X379" i="1"/>
  <c r="U379" i="1"/>
  <c r="T379" i="1"/>
  <c r="S379" i="1"/>
  <c r="R379" i="1"/>
  <c r="Q379" i="1"/>
  <c r="P379" i="1"/>
  <c r="O379" i="1"/>
  <c r="N379" i="1"/>
  <c r="M379" i="1"/>
  <c r="L379" i="1"/>
  <c r="K379" i="1"/>
  <c r="X378" i="1"/>
  <c r="U378" i="1"/>
  <c r="T378" i="1"/>
  <c r="S378" i="1"/>
  <c r="R378" i="1"/>
  <c r="Q378" i="1"/>
  <c r="P378" i="1"/>
  <c r="O378" i="1"/>
  <c r="N378" i="1"/>
  <c r="M378" i="1"/>
  <c r="L378" i="1"/>
  <c r="K378" i="1"/>
  <c r="X377" i="1"/>
  <c r="U377" i="1"/>
  <c r="T377" i="1"/>
  <c r="S377" i="1"/>
  <c r="R377" i="1"/>
  <c r="Q377" i="1"/>
  <c r="P377" i="1"/>
  <c r="O377" i="1"/>
  <c r="N377" i="1"/>
  <c r="M377" i="1"/>
  <c r="L377" i="1"/>
  <c r="K377" i="1"/>
  <c r="X376" i="1"/>
  <c r="U376" i="1"/>
  <c r="T376" i="1"/>
  <c r="S376" i="1"/>
  <c r="R376" i="1"/>
  <c r="Q376" i="1"/>
  <c r="P376" i="1"/>
  <c r="O376" i="1"/>
  <c r="N376" i="1"/>
  <c r="M376" i="1"/>
  <c r="L376" i="1"/>
  <c r="K376" i="1"/>
  <c r="X375" i="1"/>
  <c r="U375" i="1"/>
  <c r="T375" i="1"/>
  <c r="S375" i="1"/>
  <c r="R375" i="1"/>
  <c r="Q375" i="1"/>
  <c r="P375" i="1"/>
  <c r="O375" i="1"/>
  <c r="N375" i="1"/>
  <c r="M375" i="1"/>
  <c r="L375" i="1"/>
  <c r="K375" i="1"/>
  <c r="X374" i="1"/>
  <c r="U374" i="1"/>
  <c r="T374" i="1"/>
  <c r="S374" i="1"/>
  <c r="R374" i="1"/>
  <c r="Q374" i="1"/>
  <c r="P374" i="1"/>
  <c r="O374" i="1"/>
  <c r="N374" i="1"/>
  <c r="M374" i="1"/>
  <c r="L374" i="1"/>
  <c r="K374" i="1"/>
  <c r="X373" i="1"/>
  <c r="U373" i="1"/>
  <c r="T373" i="1"/>
  <c r="S373" i="1"/>
  <c r="R373" i="1"/>
  <c r="Q373" i="1"/>
  <c r="P373" i="1"/>
  <c r="O373" i="1"/>
  <c r="N373" i="1"/>
  <c r="M373" i="1"/>
  <c r="L373" i="1"/>
  <c r="K373" i="1"/>
  <c r="X372" i="1"/>
  <c r="U372" i="1"/>
  <c r="T372" i="1"/>
  <c r="S372" i="1"/>
  <c r="R372" i="1"/>
  <c r="Q372" i="1"/>
  <c r="P372" i="1"/>
  <c r="O372" i="1"/>
  <c r="N372" i="1"/>
  <c r="M372" i="1"/>
  <c r="L372" i="1"/>
  <c r="K372" i="1"/>
  <c r="X371" i="1"/>
  <c r="U371" i="1"/>
  <c r="T371" i="1"/>
  <c r="S371" i="1"/>
  <c r="R371" i="1"/>
  <c r="Q371" i="1"/>
  <c r="P371" i="1"/>
  <c r="O371" i="1"/>
  <c r="N371" i="1"/>
  <c r="M371" i="1"/>
  <c r="L371" i="1"/>
  <c r="K371" i="1"/>
  <c r="X370" i="1"/>
  <c r="U370" i="1"/>
  <c r="T370" i="1"/>
  <c r="S370" i="1"/>
  <c r="R370" i="1"/>
  <c r="Q370" i="1"/>
  <c r="P370" i="1"/>
  <c r="O370" i="1"/>
  <c r="N370" i="1"/>
  <c r="M370" i="1"/>
  <c r="L370" i="1"/>
  <c r="K370" i="1"/>
  <c r="X369" i="1"/>
  <c r="U369" i="1"/>
  <c r="T369" i="1"/>
  <c r="S369" i="1"/>
  <c r="R369" i="1"/>
  <c r="Q369" i="1"/>
  <c r="P369" i="1"/>
  <c r="O369" i="1"/>
  <c r="N369" i="1"/>
  <c r="M369" i="1"/>
  <c r="L369" i="1"/>
  <c r="K369" i="1"/>
  <c r="X368" i="1"/>
  <c r="U368" i="1"/>
  <c r="T368" i="1"/>
  <c r="S368" i="1"/>
  <c r="R368" i="1"/>
  <c r="Q368" i="1"/>
  <c r="P368" i="1"/>
  <c r="O368" i="1"/>
  <c r="N368" i="1"/>
  <c r="M368" i="1"/>
  <c r="L368" i="1"/>
  <c r="K368" i="1"/>
  <c r="X367" i="1"/>
  <c r="U367" i="1"/>
  <c r="T367" i="1"/>
  <c r="S367" i="1"/>
  <c r="R367" i="1"/>
  <c r="Q367" i="1"/>
  <c r="P367" i="1"/>
  <c r="O367" i="1"/>
  <c r="N367" i="1"/>
  <c r="M367" i="1"/>
  <c r="L367" i="1"/>
  <c r="K367" i="1"/>
  <c r="X366" i="1"/>
  <c r="U366" i="1"/>
  <c r="T366" i="1"/>
  <c r="S366" i="1"/>
  <c r="R366" i="1"/>
  <c r="Q366" i="1"/>
  <c r="P366" i="1"/>
  <c r="O366" i="1"/>
  <c r="N366" i="1"/>
  <c r="M366" i="1"/>
  <c r="L366" i="1"/>
  <c r="K366" i="1"/>
  <c r="X365" i="1"/>
  <c r="U365" i="1"/>
  <c r="T365" i="1"/>
  <c r="S365" i="1"/>
  <c r="R365" i="1"/>
  <c r="Q365" i="1"/>
  <c r="P365" i="1"/>
  <c r="O365" i="1"/>
  <c r="N365" i="1"/>
  <c r="M365" i="1"/>
  <c r="L365" i="1"/>
  <c r="K365" i="1"/>
  <c r="X364" i="1"/>
  <c r="U364" i="1"/>
  <c r="T364" i="1"/>
  <c r="S364" i="1"/>
  <c r="R364" i="1"/>
  <c r="Q364" i="1"/>
  <c r="P364" i="1"/>
  <c r="O364" i="1"/>
  <c r="N364" i="1"/>
  <c r="M364" i="1"/>
  <c r="L364" i="1"/>
  <c r="K364" i="1"/>
  <c r="X363" i="1"/>
  <c r="U363" i="1"/>
  <c r="T363" i="1"/>
  <c r="S363" i="1"/>
  <c r="R363" i="1"/>
  <c r="Q363" i="1"/>
  <c r="P363" i="1"/>
  <c r="O363" i="1"/>
  <c r="N363" i="1"/>
  <c r="M363" i="1"/>
  <c r="L363" i="1"/>
  <c r="K363" i="1"/>
  <c r="X362" i="1"/>
  <c r="U362" i="1"/>
  <c r="T362" i="1"/>
  <c r="S362" i="1"/>
  <c r="R362" i="1"/>
  <c r="Q362" i="1"/>
  <c r="P362" i="1"/>
  <c r="O362" i="1"/>
  <c r="N362" i="1"/>
  <c r="M362" i="1"/>
  <c r="L362" i="1"/>
  <c r="K362" i="1"/>
  <c r="X361" i="1"/>
  <c r="U361" i="1"/>
  <c r="T361" i="1"/>
  <c r="S361" i="1"/>
  <c r="R361" i="1"/>
  <c r="Q361" i="1"/>
  <c r="P361" i="1"/>
  <c r="O361" i="1"/>
  <c r="N361" i="1"/>
  <c r="M361" i="1"/>
  <c r="L361" i="1"/>
  <c r="K361" i="1"/>
  <c r="X360" i="1"/>
  <c r="U360" i="1"/>
  <c r="T360" i="1"/>
  <c r="S360" i="1"/>
  <c r="R360" i="1"/>
  <c r="Q360" i="1"/>
  <c r="P360" i="1"/>
  <c r="O360" i="1"/>
  <c r="N360" i="1"/>
  <c r="M360" i="1"/>
  <c r="L360" i="1"/>
  <c r="K360" i="1"/>
  <c r="X359" i="1"/>
  <c r="U359" i="1"/>
  <c r="T359" i="1"/>
  <c r="S359" i="1"/>
  <c r="R359" i="1"/>
  <c r="Q359" i="1"/>
  <c r="P359" i="1"/>
  <c r="O359" i="1"/>
  <c r="N359" i="1"/>
  <c r="M359" i="1"/>
  <c r="L359" i="1"/>
  <c r="K359" i="1"/>
  <c r="X358" i="1"/>
  <c r="U358" i="1"/>
  <c r="T358" i="1"/>
  <c r="S358" i="1"/>
  <c r="R358" i="1"/>
  <c r="Q358" i="1"/>
  <c r="P358" i="1"/>
  <c r="O358" i="1"/>
  <c r="N358" i="1"/>
  <c r="M358" i="1"/>
  <c r="L358" i="1"/>
  <c r="K358" i="1"/>
  <c r="X357" i="1"/>
  <c r="U357" i="1"/>
  <c r="T357" i="1"/>
  <c r="S357" i="1"/>
  <c r="R357" i="1"/>
  <c r="Q357" i="1"/>
  <c r="P357" i="1"/>
  <c r="O357" i="1"/>
  <c r="N357" i="1"/>
  <c r="M357" i="1"/>
  <c r="L357" i="1"/>
  <c r="K357" i="1"/>
  <c r="X356" i="1"/>
  <c r="U356" i="1"/>
  <c r="T356" i="1"/>
  <c r="S356" i="1"/>
  <c r="R356" i="1"/>
  <c r="Q356" i="1"/>
  <c r="P356" i="1"/>
  <c r="O356" i="1"/>
  <c r="N356" i="1"/>
  <c r="M356" i="1"/>
  <c r="L356" i="1"/>
  <c r="K356" i="1"/>
  <c r="X355" i="1"/>
  <c r="U355" i="1"/>
  <c r="T355" i="1"/>
  <c r="S355" i="1"/>
  <c r="R355" i="1"/>
  <c r="Q355" i="1"/>
  <c r="P355" i="1"/>
  <c r="O355" i="1"/>
  <c r="N355" i="1"/>
  <c r="M355" i="1"/>
  <c r="L355" i="1"/>
  <c r="K355" i="1"/>
  <c r="X354" i="1"/>
  <c r="U354" i="1"/>
  <c r="T354" i="1"/>
  <c r="S354" i="1"/>
  <c r="R354" i="1"/>
  <c r="Q354" i="1"/>
  <c r="P354" i="1"/>
  <c r="O354" i="1"/>
  <c r="N354" i="1"/>
  <c r="M354" i="1"/>
  <c r="L354" i="1"/>
  <c r="K354" i="1"/>
  <c r="X353" i="1"/>
  <c r="U353" i="1"/>
  <c r="T353" i="1"/>
  <c r="S353" i="1"/>
  <c r="R353" i="1"/>
  <c r="Q353" i="1"/>
  <c r="P353" i="1"/>
  <c r="O353" i="1"/>
  <c r="N353" i="1"/>
  <c r="M353" i="1"/>
  <c r="L353" i="1"/>
  <c r="K353" i="1"/>
  <c r="X352" i="1"/>
  <c r="U352" i="1"/>
  <c r="T352" i="1"/>
  <c r="S352" i="1"/>
  <c r="R352" i="1"/>
  <c r="Q352" i="1"/>
  <c r="P352" i="1"/>
  <c r="O352" i="1"/>
  <c r="N352" i="1"/>
  <c r="M352" i="1"/>
  <c r="L352" i="1"/>
  <c r="K352" i="1"/>
  <c r="X351" i="1"/>
  <c r="U351" i="1"/>
  <c r="T351" i="1"/>
  <c r="S351" i="1"/>
  <c r="R351" i="1"/>
  <c r="Q351" i="1"/>
  <c r="P351" i="1"/>
  <c r="O351" i="1"/>
  <c r="N351" i="1"/>
  <c r="M351" i="1"/>
  <c r="L351" i="1"/>
  <c r="K351" i="1"/>
  <c r="X350" i="1"/>
  <c r="U350" i="1"/>
  <c r="T350" i="1"/>
  <c r="S350" i="1"/>
  <c r="R350" i="1"/>
  <c r="Q350" i="1"/>
  <c r="P350" i="1"/>
  <c r="O350" i="1"/>
  <c r="N350" i="1"/>
  <c r="M350" i="1"/>
  <c r="L350" i="1"/>
  <c r="K350" i="1"/>
  <c r="X349" i="1"/>
  <c r="U349" i="1"/>
  <c r="T349" i="1"/>
  <c r="S349" i="1"/>
  <c r="R349" i="1"/>
  <c r="Q349" i="1"/>
  <c r="P349" i="1"/>
  <c r="O349" i="1"/>
  <c r="N349" i="1"/>
  <c r="M349" i="1"/>
  <c r="L349" i="1"/>
  <c r="K349" i="1"/>
  <c r="X348" i="1"/>
  <c r="U348" i="1"/>
  <c r="T348" i="1"/>
  <c r="S348" i="1"/>
  <c r="R348" i="1"/>
  <c r="Q348" i="1"/>
  <c r="P348" i="1"/>
  <c r="O348" i="1"/>
  <c r="N348" i="1"/>
  <c r="M348" i="1"/>
  <c r="L348" i="1"/>
  <c r="K348" i="1"/>
  <c r="X347" i="1"/>
  <c r="U347" i="1"/>
  <c r="T347" i="1"/>
  <c r="S347" i="1"/>
  <c r="R347" i="1"/>
  <c r="Q347" i="1"/>
  <c r="P347" i="1"/>
  <c r="O347" i="1"/>
  <c r="N347" i="1"/>
  <c r="M347" i="1"/>
  <c r="L347" i="1"/>
  <c r="K347" i="1"/>
  <c r="X346" i="1"/>
  <c r="U346" i="1"/>
  <c r="T346" i="1"/>
  <c r="S346" i="1"/>
  <c r="R346" i="1"/>
  <c r="Q346" i="1"/>
  <c r="P346" i="1"/>
  <c r="O346" i="1"/>
  <c r="N346" i="1"/>
  <c r="M346" i="1"/>
  <c r="L346" i="1"/>
  <c r="K346" i="1"/>
  <c r="X345" i="1"/>
  <c r="U345" i="1"/>
  <c r="T345" i="1"/>
  <c r="S345" i="1"/>
  <c r="R345" i="1"/>
  <c r="Q345" i="1"/>
  <c r="P345" i="1"/>
  <c r="O345" i="1"/>
  <c r="N345" i="1"/>
  <c r="M345" i="1"/>
  <c r="L345" i="1"/>
  <c r="K345" i="1"/>
  <c r="X344" i="1"/>
  <c r="U344" i="1"/>
  <c r="T344" i="1"/>
  <c r="S344" i="1"/>
  <c r="R344" i="1"/>
  <c r="Q344" i="1"/>
  <c r="P344" i="1"/>
  <c r="O344" i="1"/>
  <c r="N344" i="1"/>
  <c r="M344" i="1"/>
  <c r="L344" i="1"/>
  <c r="K344" i="1"/>
  <c r="X343" i="1"/>
  <c r="U343" i="1"/>
  <c r="T343" i="1"/>
  <c r="S343" i="1"/>
  <c r="R343" i="1"/>
  <c r="Q343" i="1"/>
  <c r="P343" i="1"/>
  <c r="O343" i="1"/>
  <c r="N343" i="1"/>
  <c r="M343" i="1"/>
  <c r="L343" i="1"/>
  <c r="K343" i="1"/>
  <c r="X342" i="1"/>
  <c r="U342" i="1"/>
  <c r="T342" i="1"/>
  <c r="S342" i="1"/>
  <c r="R342" i="1"/>
  <c r="Q342" i="1"/>
  <c r="P342" i="1"/>
  <c r="O342" i="1"/>
  <c r="N342" i="1"/>
  <c r="M342" i="1"/>
  <c r="L342" i="1"/>
  <c r="K342" i="1"/>
  <c r="X341" i="1"/>
  <c r="U341" i="1"/>
  <c r="T341" i="1"/>
  <c r="S341" i="1"/>
  <c r="R341" i="1"/>
  <c r="Q341" i="1"/>
  <c r="P341" i="1"/>
  <c r="O341" i="1"/>
  <c r="N341" i="1"/>
  <c r="M341" i="1"/>
  <c r="L341" i="1"/>
  <c r="K341" i="1"/>
  <c r="X340" i="1"/>
  <c r="U340" i="1"/>
  <c r="T340" i="1"/>
  <c r="S340" i="1"/>
  <c r="R340" i="1"/>
  <c r="Q340" i="1"/>
  <c r="P340" i="1"/>
  <c r="O340" i="1"/>
  <c r="N340" i="1"/>
  <c r="M340" i="1"/>
  <c r="L340" i="1"/>
  <c r="K340" i="1"/>
  <c r="X339" i="1"/>
  <c r="U339" i="1"/>
  <c r="T339" i="1"/>
  <c r="S339" i="1"/>
  <c r="R339" i="1"/>
  <c r="Q339" i="1"/>
  <c r="P339" i="1"/>
  <c r="O339" i="1"/>
  <c r="N339" i="1"/>
  <c r="M339" i="1"/>
  <c r="L339" i="1"/>
  <c r="K339" i="1"/>
  <c r="X338" i="1"/>
  <c r="U338" i="1"/>
  <c r="T338" i="1"/>
  <c r="S338" i="1"/>
  <c r="R338" i="1"/>
  <c r="Q338" i="1"/>
  <c r="P338" i="1"/>
  <c r="O338" i="1"/>
  <c r="N338" i="1"/>
  <c r="M338" i="1"/>
  <c r="L338" i="1"/>
  <c r="K338" i="1"/>
  <c r="X337" i="1"/>
  <c r="U337" i="1"/>
  <c r="T337" i="1"/>
  <c r="S337" i="1"/>
  <c r="R337" i="1"/>
  <c r="Q337" i="1"/>
  <c r="P337" i="1"/>
  <c r="O337" i="1"/>
  <c r="N337" i="1"/>
  <c r="M337" i="1"/>
  <c r="L337" i="1"/>
  <c r="K337" i="1"/>
  <c r="X336" i="1"/>
  <c r="U336" i="1"/>
  <c r="T336" i="1"/>
  <c r="S336" i="1"/>
  <c r="R336" i="1"/>
  <c r="Q336" i="1"/>
  <c r="P336" i="1"/>
  <c r="O336" i="1"/>
  <c r="N336" i="1"/>
  <c r="M336" i="1"/>
  <c r="L336" i="1"/>
  <c r="K336" i="1"/>
  <c r="X335" i="1"/>
  <c r="U335" i="1"/>
  <c r="T335" i="1"/>
  <c r="S335" i="1"/>
  <c r="R335" i="1"/>
  <c r="Q335" i="1"/>
  <c r="P335" i="1"/>
  <c r="O335" i="1"/>
  <c r="N335" i="1"/>
  <c r="M335" i="1"/>
  <c r="L335" i="1"/>
  <c r="K335" i="1"/>
  <c r="X334" i="1"/>
  <c r="U334" i="1"/>
  <c r="T334" i="1"/>
  <c r="S334" i="1"/>
  <c r="R334" i="1"/>
  <c r="Q334" i="1"/>
  <c r="P334" i="1"/>
  <c r="O334" i="1"/>
  <c r="N334" i="1"/>
  <c r="M334" i="1"/>
  <c r="L334" i="1"/>
  <c r="K334" i="1"/>
  <c r="X333" i="1"/>
  <c r="U333" i="1"/>
  <c r="T333" i="1"/>
  <c r="S333" i="1"/>
  <c r="R333" i="1"/>
  <c r="Q333" i="1"/>
  <c r="P333" i="1"/>
  <c r="O333" i="1"/>
  <c r="N333" i="1"/>
  <c r="M333" i="1"/>
  <c r="L333" i="1"/>
  <c r="K333" i="1"/>
  <c r="X332" i="1"/>
  <c r="U332" i="1"/>
  <c r="T332" i="1"/>
  <c r="S332" i="1"/>
  <c r="R332" i="1"/>
  <c r="Q332" i="1"/>
  <c r="P332" i="1"/>
  <c r="O332" i="1"/>
  <c r="N332" i="1"/>
  <c r="M332" i="1"/>
  <c r="L332" i="1"/>
  <c r="K332" i="1"/>
  <c r="X331" i="1"/>
  <c r="U331" i="1"/>
  <c r="T331" i="1"/>
  <c r="S331" i="1"/>
  <c r="R331" i="1"/>
  <c r="Q331" i="1"/>
  <c r="P331" i="1"/>
  <c r="O331" i="1"/>
  <c r="N331" i="1"/>
  <c r="M331" i="1"/>
  <c r="L331" i="1"/>
  <c r="K331" i="1"/>
  <c r="X330" i="1"/>
  <c r="U330" i="1"/>
  <c r="T330" i="1"/>
  <c r="S330" i="1"/>
  <c r="R330" i="1"/>
  <c r="Q330" i="1"/>
  <c r="P330" i="1"/>
  <c r="O330" i="1"/>
  <c r="N330" i="1"/>
  <c r="M330" i="1"/>
  <c r="L330" i="1"/>
  <c r="K330" i="1"/>
  <c r="X329" i="1"/>
  <c r="U329" i="1"/>
  <c r="T329" i="1"/>
  <c r="S329" i="1"/>
  <c r="R329" i="1"/>
  <c r="Q329" i="1"/>
  <c r="P329" i="1"/>
  <c r="O329" i="1"/>
  <c r="N329" i="1"/>
  <c r="M329" i="1"/>
  <c r="L329" i="1"/>
  <c r="K329" i="1"/>
  <c r="X328" i="1"/>
  <c r="U328" i="1"/>
  <c r="T328" i="1"/>
  <c r="S328" i="1"/>
  <c r="R328" i="1"/>
  <c r="Q328" i="1"/>
  <c r="P328" i="1"/>
  <c r="O328" i="1"/>
  <c r="N328" i="1"/>
  <c r="M328" i="1"/>
  <c r="L328" i="1"/>
  <c r="K328" i="1"/>
  <c r="X327" i="1"/>
  <c r="U327" i="1"/>
  <c r="T327" i="1"/>
  <c r="S327" i="1"/>
  <c r="R327" i="1"/>
  <c r="Q327" i="1"/>
  <c r="P327" i="1"/>
  <c r="O327" i="1"/>
  <c r="N327" i="1"/>
  <c r="M327" i="1"/>
  <c r="L327" i="1"/>
  <c r="K327" i="1"/>
  <c r="X326" i="1"/>
  <c r="U326" i="1"/>
  <c r="T326" i="1"/>
  <c r="S326" i="1"/>
  <c r="R326" i="1"/>
  <c r="Q326" i="1"/>
  <c r="P326" i="1"/>
  <c r="O326" i="1"/>
  <c r="N326" i="1"/>
  <c r="M326" i="1"/>
  <c r="L326" i="1"/>
  <c r="K326" i="1"/>
  <c r="X325" i="1"/>
  <c r="U325" i="1"/>
  <c r="T325" i="1"/>
  <c r="S325" i="1"/>
  <c r="R325" i="1"/>
  <c r="Q325" i="1"/>
  <c r="P325" i="1"/>
  <c r="O325" i="1"/>
  <c r="N325" i="1"/>
  <c r="M325" i="1"/>
  <c r="L325" i="1"/>
  <c r="K325" i="1"/>
  <c r="X324" i="1"/>
  <c r="U324" i="1"/>
  <c r="T324" i="1"/>
  <c r="S324" i="1"/>
  <c r="R324" i="1"/>
  <c r="Q324" i="1"/>
  <c r="P324" i="1"/>
  <c r="O324" i="1"/>
  <c r="N324" i="1"/>
  <c r="M324" i="1"/>
  <c r="L324" i="1"/>
  <c r="K324" i="1"/>
  <c r="X323" i="1"/>
  <c r="U323" i="1"/>
  <c r="T323" i="1"/>
  <c r="S323" i="1"/>
  <c r="R323" i="1"/>
  <c r="Q323" i="1"/>
  <c r="P323" i="1"/>
  <c r="O323" i="1"/>
  <c r="N323" i="1"/>
  <c r="M323" i="1"/>
  <c r="L323" i="1"/>
  <c r="K323" i="1"/>
  <c r="X322" i="1"/>
  <c r="U322" i="1"/>
  <c r="T322" i="1"/>
  <c r="S322" i="1"/>
  <c r="R322" i="1"/>
  <c r="Q322" i="1"/>
  <c r="P322" i="1"/>
  <c r="O322" i="1"/>
  <c r="N322" i="1"/>
  <c r="M322" i="1"/>
  <c r="L322" i="1"/>
  <c r="K322" i="1"/>
  <c r="X321" i="1"/>
  <c r="U321" i="1"/>
  <c r="T321" i="1"/>
  <c r="S321" i="1"/>
  <c r="R321" i="1"/>
  <c r="Q321" i="1"/>
  <c r="P321" i="1"/>
  <c r="O321" i="1"/>
  <c r="N321" i="1"/>
  <c r="M321" i="1"/>
  <c r="L321" i="1"/>
  <c r="K321" i="1"/>
  <c r="X320" i="1"/>
  <c r="U320" i="1"/>
  <c r="T320" i="1"/>
  <c r="S320" i="1"/>
  <c r="R320" i="1"/>
  <c r="Q320" i="1"/>
  <c r="P320" i="1"/>
  <c r="O320" i="1"/>
  <c r="N320" i="1"/>
  <c r="M320" i="1"/>
  <c r="L320" i="1"/>
  <c r="K320" i="1"/>
  <c r="X319" i="1"/>
  <c r="U319" i="1"/>
  <c r="T319" i="1"/>
  <c r="S319" i="1"/>
  <c r="R319" i="1"/>
  <c r="Q319" i="1"/>
  <c r="P319" i="1"/>
  <c r="O319" i="1"/>
  <c r="N319" i="1"/>
  <c r="M319" i="1"/>
  <c r="L319" i="1"/>
  <c r="K319" i="1"/>
  <c r="X318" i="1"/>
  <c r="U318" i="1"/>
  <c r="T318" i="1"/>
  <c r="S318" i="1"/>
  <c r="R318" i="1"/>
  <c r="Q318" i="1"/>
  <c r="P318" i="1"/>
  <c r="O318" i="1"/>
  <c r="N318" i="1"/>
  <c r="M318" i="1"/>
  <c r="L318" i="1"/>
  <c r="K318" i="1"/>
  <c r="X317" i="1"/>
  <c r="U317" i="1"/>
  <c r="T317" i="1"/>
  <c r="S317" i="1"/>
  <c r="R317" i="1"/>
  <c r="Q317" i="1"/>
  <c r="P317" i="1"/>
  <c r="O317" i="1"/>
  <c r="N317" i="1"/>
  <c r="M317" i="1"/>
  <c r="L317" i="1"/>
  <c r="K317" i="1"/>
  <c r="X316" i="1"/>
  <c r="U316" i="1"/>
  <c r="T316" i="1"/>
  <c r="S316" i="1"/>
  <c r="R316" i="1"/>
  <c r="Q316" i="1"/>
  <c r="P316" i="1"/>
  <c r="O316" i="1"/>
  <c r="N316" i="1"/>
  <c r="M316" i="1"/>
  <c r="L316" i="1"/>
  <c r="K316" i="1"/>
  <c r="X315" i="1"/>
  <c r="U315" i="1"/>
  <c r="T315" i="1"/>
  <c r="S315" i="1"/>
  <c r="R315" i="1"/>
  <c r="Q315" i="1"/>
  <c r="P315" i="1"/>
  <c r="O315" i="1"/>
  <c r="N315" i="1"/>
  <c r="M315" i="1"/>
  <c r="L315" i="1"/>
  <c r="K315" i="1"/>
  <c r="X314" i="1"/>
  <c r="U314" i="1"/>
  <c r="T314" i="1"/>
  <c r="S314" i="1"/>
  <c r="R314" i="1"/>
  <c r="Q314" i="1"/>
  <c r="P314" i="1"/>
  <c r="O314" i="1"/>
  <c r="N314" i="1"/>
  <c r="M314" i="1"/>
  <c r="L314" i="1"/>
  <c r="K314" i="1"/>
  <c r="X313" i="1"/>
  <c r="U313" i="1"/>
  <c r="T313" i="1"/>
  <c r="S313" i="1"/>
  <c r="R313" i="1"/>
  <c r="Q313" i="1"/>
  <c r="P313" i="1"/>
  <c r="O313" i="1"/>
  <c r="N313" i="1"/>
  <c r="M313" i="1"/>
  <c r="L313" i="1"/>
  <c r="K313" i="1"/>
  <c r="X312" i="1"/>
  <c r="U312" i="1"/>
  <c r="T312" i="1"/>
  <c r="S312" i="1"/>
  <c r="R312" i="1"/>
  <c r="Q312" i="1"/>
  <c r="P312" i="1"/>
  <c r="O312" i="1"/>
  <c r="N312" i="1"/>
  <c r="M312" i="1"/>
  <c r="L312" i="1"/>
  <c r="K312" i="1"/>
  <c r="X311" i="1"/>
  <c r="U311" i="1"/>
  <c r="T311" i="1"/>
  <c r="S311" i="1"/>
  <c r="R311" i="1"/>
  <c r="Q311" i="1"/>
  <c r="P311" i="1"/>
  <c r="O311" i="1"/>
  <c r="N311" i="1"/>
  <c r="M311" i="1"/>
  <c r="L311" i="1"/>
  <c r="K311" i="1"/>
  <c r="X310" i="1"/>
  <c r="U310" i="1"/>
  <c r="T310" i="1"/>
  <c r="S310" i="1"/>
  <c r="R310" i="1"/>
  <c r="Q310" i="1"/>
  <c r="P310" i="1"/>
  <c r="O310" i="1"/>
  <c r="N310" i="1"/>
  <c r="M310" i="1"/>
  <c r="L310" i="1"/>
  <c r="K310" i="1"/>
  <c r="X309" i="1"/>
  <c r="U309" i="1"/>
  <c r="T309" i="1"/>
  <c r="S309" i="1"/>
  <c r="R309" i="1"/>
  <c r="Q309" i="1"/>
  <c r="P309" i="1"/>
  <c r="O309" i="1"/>
  <c r="N309" i="1"/>
  <c r="M309" i="1"/>
  <c r="L309" i="1"/>
  <c r="K309" i="1"/>
  <c r="X308" i="1"/>
  <c r="U308" i="1"/>
  <c r="T308" i="1"/>
  <c r="S308" i="1"/>
  <c r="R308" i="1"/>
  <c r="Q308" i="1"/>
  <c r="P308" i="1"/>
  <c r="O308" i="1"/>
  <c r="N308" i="1"/>
  <c r="M308" i="1"/>
  <c r="L308" i="1"/>
  <c r="K308" i="1"/>
  <c r="X307" i="1"/>
  <c r="U307" i="1"/>
  <c r="T307" i="1"/>
  <c r="S307" i="1"/>
  <c r="R307" i="1"/>
  <c r="Q307" i="1"/>
  <c r="P307" i="1"/>
  <c r="O307" i="1"/>
  <c r="N307" i="1"/>
  <c r="M307" i="1"/>
  <c r="L307" i="1"/>
  <c r="K307" i="1"/>
  <c r="X306" i="1"/>
  <c r="U306" i="1"/>
  <c r="T306" i="1"/>
  <c r="S306" i="1"/>
  <c r="R306" i="1"/>
  <c r="Q306" i="1"/>
  <c r="P306" i="1"/>
  <c r="O306" i="1"/>
  <c r="N306" i="1"/>
  <c r="M306" i="1"/>
  <c r="L306" i="1"/>
  <c r="K306" i="1"/>
  <c r="X305" i="1"/>
  <c r="U305" i="1"/>
  <c r="T305" i="1"/>
  <c r="S305" i="1"/>
  <c r="R305" i="1"/>
  <c r="Q305" i="1"/>
  <c r="P305" i="1"/>
  <c r="O305" i="1"/>
  <c r="N305" i="1"/>
  <c r="M305" i="1"/>
  <c r="L305" i="1"/>
  <c r="K305" i="1"/>
  <c r="X304" i="1"/>
  <c r="U304" i="1"/>
  <c r="T304" i="1"/>
  <c r="S304" i="1"/>
  <c r="R304" i="1"/>
  <c r="Q304" i="1"/>
  <c r="P304" i="1"/>
  <c r="O304" i="1"/>
  <c r="N304" i="1"/>
  <c r="M304" i="1"/>
  <c r="L304" i="1"/>
  <c r="K304" i="1"/>
  <c r="X303" i="1"/>
  <c r="U303" i="1"/>
  <c r="T303" i="1"/>
  <c r="S303" i="1"/>
  <c r="R303" i="1"/>
  <c r="Q303" i="1"/>
  <c r="P303" i="1"/>
  <c r="O303" i="1"/>
  <c r="N303" i="1"/>
  <c r="M303" i="1"/>
  <c r="L303" i="1"/>
  <c r="K303" i="1"/>
  <c r="X302" i="1"/>
  <c r="U302" i="1"/>
  <c r="T302" i="1"/>
  <c r="S302" i="1"/>
  <c r="R302" i="1"/>
  <c r="Q302" i="1"/>
  <c r="P302" i="1"/>
  <c r="O302" i="1"/>
  <c r="N302" i="1"/>
  <c r="M302" i="1"/>
  <c r="L302" i="1"/>
  <c r="K302" i="1"/>
  <c r="X301" i="1"/>
  <c r="U301" i="1"/>
  <c r="T301" i="1"/>
  <c r="S301" i="1"/>
  <c r="R301" i="1"/>
  <c r="Q301" i="1"/>
  <c r="P301" i="1"/>
  <c r="O301" i="1"/>
  <c r="N301" i="1"/>
  <c r="M301" i="1"/>
  <c r="L301" i="1"/>
  <c r="K301" i="1"/>
  <c r="X300" i="1"/>
  <c r="U300" i="1"/>
  <c r="T300" i="1"/>
  <c r="S300" i="1"/>
  <c r="R300" i="1"/>
  <c r="Q300" i="1"/>
  <c r="P300" i="1"/>
  <c r="O300" i="1"/>
  <c r="N300" i="1"/>
  <c r="M300" i="1"/>
  <c r="L300" i="1"/>
  <c r="K300" i="1"/>
  <c r="X299" i="1"/>
  <c r="U299" i="1"/>
  <c r="T299" i="1"/>
  <c r="S299" i="1"/>
  <c r="R299" i="1"/>
  <c r="Q299" i="1"/>
  <c r="P299" i="1"/>
  <c r="O299" i="1"/>
  <c r="N299" i="1"/>
  <c r="M299" i="1"/>
  <c r="L299" i="1"/>
  <c r="K299" i="1"/>
  <c r="X298" i="1"/>
  <c r="U298" i="1"/>
  <c r="T298" i="1"/>
  <c r="S298" i="1"/>
  <c r="R298" i="1"/>
  <c r="Q298" i="1"/>
  <c r="P298" i="1"/>
  <c r="O298" i="1"/>
  <c r="N298" i="1"/>
  <c r="M298" i="1"/>
  <c r="L298" i="1"/>
  <c r="K298" i="1"/>
  <c r="X297" i="1"/>
  <c r="U297" i="1"/>
  <c r="T297" i="1"/>
  <c r="S297" i="1"/>
  <c r="R297" i="1"/>
  <c r="Q297" i="1"/>
  <c r="P297" i="1"/>
  <c r="O297" i="1"/>
  <c r="N297" i="1"/>
  <c r="M297" i="1"/>
  <c r="L297" i="1"/>
  <c r="K297" i="1"/>
  <c r="X296" i="1"/>
  <c r="U296" i="1"/>
  <c r="T296" i="1"/>
  <c r="S296" i="1"/>
  <c r="R296" i="1"/>
  <c r="Q296" i="1"/>
  <c r="P296" i="1"/>
  <c r="O296" i="1"/>
  <c r="N296" i="1"/>
  <c r="M296" i="1"/>
  <c r="L296" i="1"/>
  <c r="K296" i="1"/>
  <c r="X295" i="1"/>
  <c r="U295" i="1"/>
  <c r="T295" i="1"/>
  <c r="S295" i="1"/>
  <c r="R295" i="1"/>
  <c r="Q295" i="1"/>
  <c r="P295" i="1"/>
  <c r="O295" i="1"/>
  <c r="N295" i="1"/>
  <c r="M295" i="1"/>
  <c r="L295" i="1"/>
  <c r="K295" i="1"/>
  <c r="X294" i="1"/>
  <c r="U294" i="1"/>
  <c r="T294" i="1"/>
  <c r="S294" i="1"/>
  <c r="R294" i="1"/>
  <c r="Q294" i="1"/>
  <c r="P294" i="1"/>
  <c r="O294" i="1"/>
  <c r="N294" i="1"/>
  <c r="M294" i="1"/>
  <c r="L294" i="1"/>
  <c r="K294" i="1"/>
  <c r="X293" i="1"/>
  <c r="U293" i="1"/>
  <c r="T293" i="1"/>
  <c r="S293" i="1"/>
  <c r="R293" i="1"/>
  <c r="Q293" i="1"/>
  <c r="P293" i="1"/>
  <c r="O293" i="1"/>
  <c r="N293" i="1"/>
  <c r="M293" i="1"/>
  <c r="L293" i="1"/>
  <c r="K293" i="1"/>
  <c r="X292" i="1"/>
  <c r="U292" i="1"/>
  <c r="T292" i="1"/>
  <c r="S292" i="1"/>
  <c r="R292" i="1"/>
  <c r="Q292" i="1"/>
  <c r="P292" i="1"/>
  <c r="O292" i="1"/>
  <c r="N292" i="1"/>
  <c r="M292" i="1"/>
  <c r="L292" i="1"/>
  <c r="K292" i="1"/>
  <c r="X291" i="1"/>
  <c r="U291" i="1"/>
  <c r="T291" i="1"/>
  <c r="S291" i="1"/>
  <c r="R291" i="1"/>
  <c r="Q291" i="1"/>
  <c r="P291" i="1"/>
  <c r="O291" i="1"/>
  <c r="N291" i="1"/>
  <c r="M291" i="1"/>
  <c r="L291" i="1"/>
  <c r="K291" i="1"/>
  <c r="X290" i="1"/>
  <c r="U290" i="1"/>
  <c r="T290" i="1"/>
  <c r="S290" i="1"/>
  <c r="R290" i="1"/>
  <c r="Q290" i="1"/>
  <c r="P290" i="1"/>
  <c r="O290" i="1"/>
  <c r="N290" i="1"/>
  <c r="M290" i="1"/>
  <c r="L290" i="1"/>
  <c r="K290" i="1"/>
  <c r="X289" i="1"/>
  <c r="U289" i="1"/>
  <c r="T289" i="1"/>
  <c r="S289" i="1"/>
  <c r="R289" i="1"/>
  <c r="Q289" i="1"/>
  <c r="P289" i="1"/>
  <c r="O289" i="1"/>
  <c r="N289" i="1"/>
  <c r="M289" i="1"/>
  <c r="L289" i="1"/>
  <c r="K289" i="1"/>
  <c r="X288" i="1"/>
  <c r="U288" i="1"/>
  <c r="T288" i="1"/>
  <c r="S288" i="1"/>
  <c r="R288" i="1"/>
  <c r="Q288" i="1"/>
  <c r="P288" i="1"/>
  <c r="O288" i="1"/>
  <c r="N288" i="1"/>
  <c r="M288" i="1"/>
  <c r="L288" i="1"/>
  <c r="K288" i="1"/>
  <c r="X287" i="1"/>
  <c r="U287" i="1"/>
  <c r="T287" i="1"/>
  <c r="S287" i="1"/>
  <c r="R287" i="1"/>
  <c r="Q287" i="1"/>
  <c r="P287" i="1"/>
  <c r="O287" i="1"/>
  <c r="N287" i="1"/>
  <c r="M287" i="1"/>
  <c r="L287" i="1"/>
  <c r="K287" i="1"/>
  <c r="X286" i="1"/>
  <c r="U286" i="1"/>
  <c r="T286" i="1"/>
  <c r="S286" i="1"/>
  <c r="R286" i="1"/>
  <c r="Q286" i="1"/>
  <c r="P286" i="1"/>
  <c r="O286" i="1"/>
  <c r="N286" i="1"/>
  <c r="M286" i="1"/>
  <c r="L286" i="1"/>
  <c r="K286" i="1"/>
  <c r="X285" i="1"/>
  <c r="U285" i="1"/>
  <c r="T285" i="1"/>
  <c r="S285" i="1"/>
  <c r="R285" i="1"/>
  <c r="Q285" i="1"/>
  <c r="P285" i="1"/>
  <c r="O285" i="1"/>
  <c r="N285" i="1"/>
  <c r="M285" i="1"/>
  <c r="L285" i="1"/>
  <c r="K285" i="1"/>
  <c r="X284" i="1"/>
  <c r="U284" i="1"/>
  <c r="T284" i="1"/>
  <c r="S284" i="1"/>
  <c r="R284" i="1"/>
  <c r="Q284" i="1"/>
  <c r="P284" i="1"/>
  <c r="O284" i="1"/>
  <c r="N284" i="1"/>
  <c r="M284" i="1"/>
  <c r="L284" i="1"/>
  <c r="K284" i="1"/>
  <c r="X283" i="1"/>
  <c r="U283" i="1"/>
  <c r="T283" i="1"/>
  <c r="S283" i="1"/>
  <c r="R283" i="1"/>
  <c r="Q283" i="1"/>
  <c r="P283" i="1"/>
  <c r="O283" i="1"/>
  <c r="N283" i="1"/>
  <c r="M283" i="1"/>
  <c r="L283" i="1"/>
  <c r="K283" i="1"/>
  <c r="X282" i="1"/>
  <c r="U282" i="1"/>
  <c r="T282" i="1"/>
  <c r="S282" i="1"/>
  <c r="R282" i="1"/>
  <c r="Q282" i="1"/>
  <c r="P282" i="1"/>
  <c r="O282" i="1"/>
  <c r="N282" i="1"/>
  <c r="M282" i="1"/>
  <c r="L282" i="1"/>
  <c r="K282" i="1"/>
  <c r="X281" i="1"/>
  <c r="U281" i="1"/>
  <c r="T281" i="1"/>
  <c r="S281" i="1"/>
  <c r="R281" i="1"/>
  <c r="Q281" i="1"/>
  <c r="P281" i="1"/>
  <c r="O281" i="1"/>
  <c r="N281" i="1"/>
  <c r="M281" i="1"/>
  <c r="L281" i="1"/>
  <c r="K281" i="1"/>
  <c r="X280" i="1"/>
  <c r="U280" i="1"/>
  <c r="T280" i="1"/>
  <c r="S280" i="1"/>
  <c r="R280" i="1"/>
  <c r="Q280" i="1"/>
  <c r="P280" i="1"/>
  <c r="O280" i="1"/>
  <c r="N280" i="1"/>
  <c r="M280" i="1"/>
  <c r="L280" i="1"/>
  <c r="K280" i="1"/>
  <c r="X279" i="1"/>
  <c r="U279" i="1"/>
  <c r="T279" i="1"/>
  <c r="S279" i="1"/>
  <c r="R279" i="1"/>
  <c r="Q279" i="1"/>
  <c r="P279" i="1"/>
  <c r="O279" i="1"/>
  <c r="N279" i="1"/>
  <c r="M279" i="1"/>
  <c r="L279" i="1"/>
  <c r="K279" i="1"/>
  <c r="X278" i="1"/>
  <c r="U278" i="1"/>
  <c r="T278" i="1"/>
  <c r="S278" i="1"/>
  <c r="R278" i="1"/>
  <c r="Q278" i="1"/>
  <c r="P278" i="1"/>
  <c r="O278" i="1"/>
  <c r="N278" i="1"/>
  <c r="M278" i="1"/>
  <c r="L278" i="1"/>
  <c r="K278" i="1"/>
  <c r="X277" i="1"/>
  <c r="U277" i="1"/>
  <c r="T277" i="1"/>
  <c r="S277" i="1"/>
  <c r="R277" i="1"/>
  <c r="Q277" i="1"/>
  <c r="P277" i="1"/>
  <c r="O277" i="1"/>
  <c r="N277" i="1"/>
  <c r="M277" i="1"/>
  <c r="L277" i="1"/>
  <c r="K277" i="1"/>
  <c r="X276" i="1"/>
  <c r="U276" i="1"/>
  <c r="T276" i="1"/>
  <c r="S276" i="1"/>
  <c r="R276" i="1"/>
  <c r="Q276" i="1"/>
  <c r="P276" i="1"/>
  <c r="O276" i="1"/>
  <c r="N276" i="1"/>
  <c r="M276" i="1"/>
  <c r="L276" i="1"/>
  <c r="K276" i="1"/>
  <c r="X275" i="1"/>
  <c r="U275" i="1"/>
  <c r="T275" i="1"/>
  <c r="S275" i="1"/>
  <c r="R275" i="1"/>
  <c r="Q275" i="1"/>
  <c r="P275" i="1"/>
  <c r="O275" i="1"/>
  <c r="N275" i="1"/>
  <c r="M275" i="1"/>
  <c r="L275" i="1"/>
  <c r="K275" i="1"/>
  <c r="X274" i="1"/>
  <c r="U274" i="1"/>
  <c r="T274" i="1"/>
  <c r="S274" i="1"/>
  <c r="R274" i="1"/>
  <c r="Q274" i="1"/>
  <c r="P274" i="1"/>
  <c r="O274" i="1"/>
  <c r="N274" i="1"/>
  <c r="M274" i="1"/>
  <c r="L274" i="1"/>
  <c r="K274" i="1"/>
  <c r="X273" i="1"/>
  <c r="U273" i="1"/>
  <c r="T273" i="1"/>
  <c r="S273" i="1"/>
  <c r="R273" i="1"/>
  <c r="Q273" i="1"/>
  <c r="P273" i="1"/>
  <c r="O273" i="1"/>
  <c r="N273" i="1"/>
  <c r="M273" i="1"/>
  <c r="L273" i="1"/>
  <c r="K273" i="1"/>
  <c r="X272" i="1"/>
  <c r="U272" i="1"/>
  <c r="T272" i="1"/>
  <c r="S272" i="1"/>
  <c r="R272" i="1"/>
  <c r="Q272" i="1"/>
  <c r="P272" i="1"/>
  <c r="O272" i="1"/>
  <c r="N272" i="1"/>
  <c r="M272" i="1"/>
  <c r="L272" i="1"/>
  <c r="K272" i="1"/>
  <c r="X271" i="1"/>
  <c r="U271" i="1"/>
  <c r="T271" i="1"/>
  <c r="S271" i="1"/>
  <c r="R271" i="1"/>
  <c r="Q271" i="1"/>
  <c r="P271" i="1"/>
  <c r="O271" i="1"/>
  <c r="N271" i="1"/>
  <c r="M271" i="1"/>
  <c r="L271" i="1"/>
  <c r="K271" i="1"/>
  <c r="X270" i="1"/>
  <c r="U270" i="1"/>
  <c r="T270" i="1"/>
  <c r="S270" i="1"/>
  <c r="R270" i="1"/>
  <c r="Q270" i="1"/>
  <c r="P270" i="1"/>
  <c r="O270" i="1"/>
  <c r="N270" i="1"/>
  <c r="M270" i="1"/>
  <c r="L270" i="1"/>
  <c r="K270" i="1"/>
  <c r="X269" i="1"/>
  <c r="U269" i="1"/>
  <c r="T269" i="1"/>
  <c r="S269" i="1"/>
  <c r="R269" i="1"/>
  <c r="Q269" i="1"/>
  <c r="P269" i="1"/>
  <c r="O269" i="1"/>
  <c r="N269" i="1"/>
  <c r="M269" i="1"/>
  <c r="L269" i="1"/>
  <c r="K269" i="1"/>
  <c r="X268" i="1"/>
  <c r="U268" i="1"/>
  <c r="T268" i="1"/>
  <c r="S268" i="1"/>
  <c r="R268" i="1"/>
  <c r="Q268" i="1"/>
  <c r="P268" i="1"/>
  <c r="O268" i="1"/>
  <c r="N268" i="1"/>
  <c r="M268" i="1"/>
  <c r="L268" i="1"/>
  <c r="K268" i="1"/>
  <c r="X267" i="1"/>
  <c r="U267" i="1"/>
  <c r="T267" i="1"/>
  <c r="S267" i="1"/>
  <c r="R267" i="1"/>
  <c r="Q267" i="1"/>
  <c r="P267" i="1"/>
  <c r="O267" i="1"/>
  <c r="N267" i="1"/>
  <c r="M267" i="1"/>
  <c r="L267" i="1"/>
  <c r="K267" i="1"/>
  <c r="X266" i="1"/>
  <c r="U266" i="1"/>
  <c r="T266" i="1"/>
  <c r="S266" i="1"/>
  <c r="R266" i="1"/>
  <c r="Q266" i="1"/>
  <c r="P266" i="1"/>
  <c r="O266" i="1"/>
  <c r="N266" i="1"/>
  <c r="M266" i="1"/>
  <c r="L266" i="1"/>
  <c r="K266" i="1"/>
  <c r="X265" i="1"/>
  <c r="U265" i="1"/>
  <c r="T265" i="1"/>
  <c r="S265" i="1"/>
  <c r="R265" i="1"/>
  <c r="Q265" i="1"/>
  <c r="P265" i="1"/>
  <c r="O265" i="1"/>
  <c r="N265" i="1"/>
  <c r="M265" i="1"/>
  <c r="L265" i="1"/>
  <c r="K265" i="1"/>
  <c r="X264" i="1"/>
  <c r="U264" i="1"/>
  <c r="T264" i="1"/>
  <c r="S264" i="1"/>
  <c r="R264" i="1"/>
  <c r="Q264" i="1"/>
  <c r="P264" i="1"/>
  <c r="O264" i="1"/>
  <c r="N264" i="1"/>
  <c r="M264" i="1"/>
  <c r="L264" i="1"/>
  <c r="K264" i="1"/>
  <c r="X263" i="1"/>
  <c r="U263" i="1"/>
  <c r="T263" i="1"/>
  <c r="S263" i="1"/>
  <c r="R263" i="1"/>
  <c r="Q263" i="1"/>
  <c r="P263" i="1"/>
  <c r="O263" i="1"/>
  <c r="N263" i="1"/>
  <c r="M263" i="1"/>
  <c r="L263" i="1"/>
  <c r="K263" i="1"/>
  <c r="X262" i="1"/>
  <c r="U262" i="1"/>
  <c r="T262" i="1"/>
  <c r="S262" i="1"/>
  <c r="R262" i="1"/>
  <c r="Q262" i="1"/>
  <c r="P262" i="1"/>
  <c r="O262" i="1"/>
  <c r="N262" i="1"/>
  <c r="M262" i="1"/>
  <c r="L262" i="1"/>
  <c r="K262" i="1"/>
  <c r="X261" i="1"/>
  <c r="U261" i="1"/>
  <c r="T261" i="1"/>
  <c r="S261" i="1"/>
  <c r="R261" i="1"/>
  <c r="Q261" i="1"/>
  <c r="P261" i="1"/>
  <c r="O261" i="1"/>
  <c r="N261" i="1"/>
  <c r="M261" i="1"/>
  <c r="L261" i="1"/>
  <c r="K261" i="1"/>
  <c r="X260" i="1"/>
  <c r="U260" i="1"/>
  <c r="T260" i="1"/>
  <c r="S260" i="1"/>
  <c r="R260" i="1"/>
  <c r="Q260" i="1"/>
  <c r="P260" i="1"/>
  <c r="O260" i="1"/>
  <c r="N260" i="1"/>
  <c r="M260" i="1"/>
  <c r="L260" i="1"/>
  <c r="K260" i="1"/>
  <c r="X259" i="1"/>
  <c r="U259" i="1"/>
  <c r="T259" i="1"/>
  <c r="S259" i="1"/>
  <c r="R259" i="1"/>
  <c r="Q259" i="1"/>
  <c r="P259" i="1"/>
  <c r="O259" i="1"/>
  <c r="N259" i="1"/>
  <c r="M259" i="1"/>
  <c r="L259" i="1"/>
  <c r="K259" i="1"/>
  <c r="X258" i="1"/>
  <c r="U258" i="1"/>
  <c r="T258" i="1"/>
  <c r="S258" i="1"/>
  <c r="R258" i="1"/>
  <c r="Q258" i="1"/>
  <c r="P258" i="1"/>
  <c r="O258" i="1"/>
  <c r="N258" i="1"/>
  <c r="M258" i="1"/>
  <c r="L258" i="1"/>
  <c r="K258" i="1"/>
  <c r="X257" i="1"/>
  <c r="U257" i="1"/>
  <c r="T257" i="1"/>
  <c r="S257" i="1"/>
  <c r="R257" i="1"/>
  <c r="Q257" i="1"/>
  <c r="P257" i="1"/>
  <c r="O257" i="1"/>
  <c r="N257" i="1"/>
  <c r="M257" i="1"/>
  <c r="L257" i="1"/>
  <c r="K257" i="1"/>
  <c r="X256" i="1"/>
  <c r="U256" i="1"/>
  <c r="T256" i="1"/>
  <c r="S256" i="1"/>
  <c r="R256" i="1"/>
  <c r="Q256" i="1"/>
  <c r="P256" i="1"/>
  <c r="O256" i="1"/>
  <c r="N256" i="1"/>
  <c r="M256" i="1"/>
  <c r="L256" i="1"/>
  <c r="K256" i="1"/>
  <c r="X255" i="1"/>
  <c r="U255" i="1"/>
  <c r="T255" i="1"/>
  <c r="S255" i="1"/>
  <c r="R255" i="1"/>
  <c r="Q255" i="1"/>
  <c r="P255" i="1"/>
  <c r="O255" i="1"/>
  <c r="N255" i="1"/>
  <c r="M255" i="1"/>
  <c r="L255" i="1"/>
  <c r="K255" i="1"/>
  <c r="X254" i="1"/>
  <c r="U254" i="1"/>
  <c r="T254" i="1"/>
  <c r="S254" i="1"/>
  <c r="R254" i="1"/>
  <c r="Q254" i="1"/>
  <c r="P254" i="1"/>
  <c r="O254" i="1"/>
  <c r="N254" i="1"/>
  <c r="M254" i="1"/>
  <c r="L254" i="1"/>
  <c r="K254" i="1"/>
  <c r="X253" i="1"/>
  <c r="U253" i="1"/>
  <c r="T253" i="1"/>
  <c r="S253" i="1"/>
  <c r="R253" i="1"/>
  <c r="Q253" i="1"/>
  <c r="P253" i="1"/>
  <c r="O253" i="1"/>
  <c r="N253" i="1"/>
  <c r="M253" i="1"/>
  <c r="L253" i="1"/>
  <c r="K253" i="1"/>
  <c r="X252" i="1"/>
  <c r="U252" i="1"/>
  <c r="T252" i="1"/>
  <c r="S252" i="1"/>
  <c r="R252" i="1"/>
  <c r="Q252" i="1"/>
  <c r="P252" i="1"/>
  <c r="O252" i="1"/>
  <c r="N252" i="1"/>
  <c r="M252" i="1"/>
  <c r="L252" i="1"/>
  <c r="K252" i="1"/>
  <c r="X251" i="1"/>
  <c r="U251" i="1"/>
  <c r="T251" i="1"/>
  <c r="S251" i="1"/>
  <c r="R251" i="1"/>
  <c r="Q251" i="1"/>
  <c r="P251" i="1"/>
  <c r="O251" i="1"/>
  <c r="N251" i="1"/>
  <c r="M251" i="1"/>
  <c r="L251" i="1"/>
  <c r="K251" i="1"/>
  <c r="X250" i="1"/>
  <c r="U250" i="1"/>
  <c r="T250" i="1"/>
  <c r="S250" i="1"/>
  <c r="R250" i="1"/>
  <c r="Q250" i="1"/>
  <c r="P250" i="1"/>
  <c r="O250" i="1"/>
  <c r="N250" i="1"/>
  <c r="M250" i="1"/>
  <c r="L250" i="1"/>
  <c r="K250" i="1"/>
  <c r="X249" i="1"/>
  <c r="U249" i="1"/>
  <c r="T249" i="1"/>
  <c r="S249" i="1"/>
  <c r="R249" i="1"/>
  <c r="Q249" i="1"/>
  <c r="P249" i="1"/>
  <c r="O249" i="1"/>
  <c r="N249" i="1"/>
  <c r="M249" i="1"/>
  <c r="L249" i="1"/>
  <c r="K249" i="1"/>
  <c r="X248" i="1"/>
  <c r="U248" i="1"/>
  <c r="T248" i="1"/>
  <c r="S248" i="1"/>
  <c r="R248" i="1"/>
  <c r="Q248" i="1"/>
  <c r="P248" i="1"/>
  <c r="O248" i="1"/>
  <c r="N248" i="1"/>
  <c r="M248" i="1"/>
  <c r="L248" i="1"/>
  <c r="K248" i="1"/>
  <c r="X247" i="1"/>
  <c r="U247" i="1"/>
  <c r="T247" i="1"/>
  <c r="S247" i="1"/>
  <c r="R247" i="1"/>
  <c r="Q247" i="1"/>
  <c r="P247" i="1"/>
  <c r="O247" i="1"/>
  <c r="N247" i="1"/>
  <c r="M247" i="1"/>
  <c r="L247" i="1"/>
  <c r="K247" i="1"/>
  <c r="X246" i="1"/>
  <c r="U246" i="1"/>
  <c r="T246" i="1"/>
  <c r="S246" i="1"/>
  <c r="R246" i="1"/>
  <c r="Q246" i="1"/>
  <c r="P246" i="1"/>
  <c r="O246" i="1"/>
  <c r="N246" i="1"/>
  <c r="M246" i="1"/>
  <c r="L246" i="1"/>
  <c r="K246" i="1"/>
  <c r="X245" i="1"/>
  <c r="U245" i="1"/>
  <c r="T245" i="1"/>
  <c r="S245" i="1"/>
  <c r="R245" i="1"/>
  <c r="Q245" i="1"/>
  <c r="P245" i="1"/>
  <c r="O245" i="1"/>
  <c r="N245" i="1"/>
  <c r="M245" i="1"/>
  <c r="L245" i="1"/>
  <c r="K245" i="1"/>
  <c r="X244" i="1"/>
  <c r="U244" i="1"/>
  <c r="T244" i="1"/>
  <c r="S244" i="1"/>
  <c r="R244" i="1"/>
  <c r="Q244" i="1"/>
  <c r="P244" i="1"/>
  <c r="O244" i="1"/>
  <c r="N244" i="1"/>
  <c r="M244" i="1"/>
  <c r="L244" i="1"/>
  <c r="K244" i="1"/>
  <c r="X243" i="1"/>
  <c r="U243" i="1"/>
  <c r="T243" i="1"/>
  <c r="S243" i="1"/>
  <c r="R243" i="1"/>
  <c r="Q243" i="1"/>
  <c r="P243" i="1"/>
  <c r="O243" i="1"/>
  <c r="N243" i="1"/>
  <c r="M243" i="1"/>
  <c r="L243" i="1"/>
  <c r="K243" i="1"/>
  <c r="X242" i="1"/>
  <c r="U242" i="1"/>
  <c r="T242" i="1"/>
  <c r="S242" i="1"/>
  <c r="R242" i="1"/>
  <c r="Q242" i="1"/>
  <c r="P242" i="1"/>
  <c r="O242" i="1"/>
  <c r="N242" i="1"/>
  <c r="M242" i="1"/>
  <c r="L242" i="1"/>
  <c r="K242" i="1"/>
  <c r="X241" i="1"/>
  <c r="U241" i="1"/>
  <c r="T241" i="1"/>
  <c r="S241" i="1"/>
  <c r="R241" i="1"/>
  <c r="Q241" i="1"/>
  <c r="P241" i="1"/>
  <c r="O241" i="1"/>
  <c r="N241" i="1"/>
  <c r="M241" i="1"/>
  <c r="L241" i="1"/>
  <c r="K241" i="1"/>
  <c r="X240" i="1"/>
  <c r="U240" i="1"/>
  <c r="T240" i="1"/>
  <c r="S240" i="1"/>
  <c r="R240" i="1"/>
  <c r="Q240" i="1"/>
  <c r="P240" i="1"/>
  <c r="O240" i="1"/>
  <c r="N240" i="1"/>
  <c r="M240" i="1"/>
  <c r="L240" i="1"/>
  <c r="K240" i="1"/>
  <c r="X239" i="1"/>
  <c r="U239" i="1"/>
  <c r="T239" i="1"/>
  <c r="S239" i="1"/>
  <c r="R239" i="1"/>
  <c r="Q239" i="1"/>
  <c r="P239" i="1"/>
  <c r="O239" i="1"/>
  <c r="N239" i="1"/>
  <c r="M239" i="1"/>
  <c r="L239" i="1"/>
  <c r="K239" i="1"/>
  <c r="X238" i="1"/>
  <c r="U238" i="1"/>
  <c r="T238" i="1"/>
  <c r="S238" i="1"/>
  <c r="R238" i="1"/>
  <c r="Q238" i="1"/>
  <c r="P238" i="1"/>
  <c r="O238" i="1"/>
  <c r="N238" i="1"/>
  <c r="M238" i="1"/>
  <c r="L238" i="1"/>
  <c r="K238" i="1"/>
  <c r="X237" i="1"/>
  <c r="U237" i="1"/>
  <c r="T237" i="1"/>
  <c r="S237" i="1"/>
  <c r="R237" i="1"/>
  <c r="Q237" i="1"/>
  <c r="P237" i="1"/>
  <c r="O237" i="1"/>
  <c r="N237" i="1"/>
  <c r="M237" i="1"/>
  <c r="L237" i="1"/>
  <c r="K237" i="1"/>
  <c r="X236" i="1"/>
  <c r="U236" i="1"/>
  <c r="T236" i="1"/>
  <c r="S236" i="1"/>
  <c r="R236" i="1"/>
  <c r="Q236" i="1"/>
  <c r="P236" i="1"/>
  <c r="O236" i="1"/>
  <c r="N236" i="1"/>
  <c r="M236" i="1"/>
  <c r="L236" i="1"/>
  <c r="K236" i="1"/>
  <c r="X235" i="1"/>
  <c r="U235" i="1"/>
  <c r="T235" i="1"/>
  <c r="S235" i="1"/>
  <c r="R235" i="1"/>
  <c r="Q235" i="1"/>
  <c r="P235" i="1"/>
  <c r="O235" i="1"/>
  <c r="N235" i="1"/>
  <c r="M235" i="1"/>
  <c r="L235" i="1"/>
  <c r="K235" i="1"/>
  <c r="X234" i="1"/>
  <c r="U234" i="1"/>
  <c r="T234" i="1"/>
  <c r="S234" i="1"/>
  <c r="R234" i="1"/>
  <c r="Q234" i="1"/>
  <c r="P234" i="1"/>
  <c r="O234" i="1"/>
  <c r="N234" i="1"/>
  <c r="M234" i="1"/>
  <c r="L234" i="1"/>
  <c r="K234" i="1"/>
  <c r="X233" i="1"/>
  <c r="U233" i="1"/>
  <c r="T233" i="1"/>
  <c r="S233" i="1"/>
  <c r="R233" i="1"/>
  <c r="Q233" i="1"/>
  <c r="P233" i="1"/>
  <c r="O233" i="1"/>
  <c r="N233" i="1"/>
  <c r="M233" i="1"/>
  <c r="L233" i="1"/>
  <c r="K233" i="1"/>
  <c r="X232" i="1"/>
  <c r="U232" i="1"/>
  <c r="T232" i="1"/>
  <c r="S232" i="1"/>
  <c r="R232" i="1"/>
  <c r="Q232" i="1"/>
  <c r="P232" i="1"/>
  <c r="O232" i="1"/>
  <c r="N232" i="1"/>
  <c r="M232" i="1"/>
  <c r="L232" i="1"/>
  <c r="K232" i="1"/>
  <c r="X231" i="1"/>
  <c r="U231" i="1"/>
  <c r="T231" i="1"/>
  <c r="S231" i="1"/>
  <c r="R231" i="1"/>
  <c r="Q231" i="1"/>
  <c r="P231" i="1"/>
  <c r="O231" i="1"/>
  <c r="N231" i="1"/>
  <c r="M231" i="1"/>
  <c r="L231" i="1"/>
  <c r="K231" i="1"/>
  <c r="X230" i="1"/>
  <c r="U230" i="1"/>
  <c r="T230" i="1"/>
  <c r="S230" i="1"/>
  <c r="R230" i="1"/>
  <c r="Q230" i="1"/>
  <c r="P230" i="1"/>
  <c r="O230" i="1"/>
  <c r="N230" i="1"/>
  <c r="M230" i="1"/>
  <c r="L230" i="1"/>
  <c r="K230" i="1"/>
  <c r="X229" i="1"/>
  <c r="U229" i="1"/>
  <c r="T229" i="1"/>
  <c r="S229" i="1"/>
  <c r="R229" i="1"/>
  <c r="Q229" i="1"/>
  <c r="P229" i="1"/>
  <c r="O229" i="1"/>
  <c r="N229" i="1"/>
  <c r="M229" i="1"/>
  <c r="L229" i="1"/>
  <c r="K229" i="1"/>
  <c r="X228" i="1"/>
  <c r="U228" i="1"/>
  <c r="T228" i="1"/>
  <c r="S228" i="1"/>
  <c r="R228" i="1"/>
  <c r="Q228" i="1"/>
  <c r="P228" i="1"/>
  <c r="O228" i="1"/>
  <c r="N228" i="1"/>
  <c r="M228" i="1"/>
  <c r="L228" i="1"/>
  <c r="K228" i="1"/>
  <c r="X227" i="1"/>
  <c r="U227" i="1"/>
  <c r="T227" i="1"/>
  <c r="S227" i="1"/>
  <c r="R227" i="1"/>
  <c r="Q227" i="1"/>
  <c r="P227" i="1"/>
  <c r="O227" i="1"/>
  <c r="N227" i="1"/>
  <c r="M227" i="1"/>
  <c r="L227" i="1"/>
  <c r="K227" i="1"/>
  <c r="X226" i="1"/>
  <c r="U226" i="1"/>
  <c r="T226" i="1"/>
  <c r="S226" i="1"/>
  <c r="R226" i="1"/>
  <c r="Q226" i="1"/>
  <c r="P226" i="1"/>
  <c r="O226" i="1"/>
  <c r="N226" i="1"/>
  <c r="M226" i="1"/>
  <c r="L226" i="1"/>
  <c r="K226" i="1"/>
  <c r="X225" i="1"/>
  <c r="U225" i="1"/>
  <c r="T225" i="1"/>
  <c r="S225" i="1"/>
  <c r="R225" i="1"/>
  <c r="Q225" i="1"/>
  <c r="P225" i="1"/>
  <c r="O225" i="1"/>
  <c r="N225" i="1"/>
  <c r="M225" i="1"/>
  <c r="L225" i="1"/>
  <c r="K225" i="1"/>
  <c r="X224" i="1"/>
  <c r="U224" i="1"/>
  <c r="T224" i="1"/>
  <c r="S224" i="1"/>
  <c r="R224" i="1"/>
  <c r="Q224" i="1"/>
  <c r="P224" i="1"/>
  <c r="O224" i="1"/>
  <c r="N224" i="1"/>
  <c r="M224" i="1"/>
  <c r="L224" i="1"/>
  <c r="K224" i="1"/>
  <c r="X223" i="1"/>
  <c r="U223" i="1"/>
  <c r="T223" i="1"/>
  <c r="S223" i="1"/>
  <c r="R223" i="1"/>
  <c r="Q223" i="1"/>
  <c r="P223" i="1"/>
  <c r="O223" i="1"/>
  <c r="N223" i="1"/>
  <c r="M223" i="1"/>
  <c r="L223" i="1"/>
  <c r="K223" i="1"/>
  <c r="X222" i="1"/>
  <c r="U222" i="1"/>
  <c r="T222" i="1"/>
  <c r="S222" i="1"/>
  <c r="R222" i="1"/>
  <c r="Q222" i="1"/>
  <c r="P222" i="1"/>
  <c r="O222" i="1"/>
  <c r="N222" i="1"/>
  <c r="M222" i="1"/>
  <c r="L222" i="1"/>
  <c r="K222" i="1"/>
  <c r="X221" i="1"/>
  <c r="U221" i="1"/>
  <c r="T221" i="1"/>
  <c r="S221" i="1"/>
  <c r="R221" i="1"/>
  <c r="Q221" i="1"/>
  <c r="P221" i="1"/>
  <c r="O221" i="1"/>
  <c r="N221" i="1"/>
  <c r="M221" i="1"/>
  <c r="L221" i="1"/>
  <c r="K221" i="1"/>
  <c r="X220" i="1"/>
  <c r="U220" i="1"/>
  <c r="T220" i="1"/>
  <c r="S220" i="1"/>
  <c r="R220" i="1"/>
  <c r="Q220" i="1"/>
  <c r="P220" i="1"/>
  <c r="O220" i="1"/>
  <c r="N220" i="1"/>
  <c r="M220" i="1"/>
  <c r="L220" i="1"/>
  <c r="K220" i="1"/>
  <c r="X219" i="1"/>
  <c r="U219" i="1"/>
  <c r="T219" i="1"/>
  <c r="S219" i="1"/>
  <c r="R219" i="1"/>
  <c r="Q219" i="1"/>
  <c r="P219" i="1"/>
  <c r="O219" i="1"/>
  <c r="N219" i="1"/>
  <c r="M219" i="1"/>
  <c r="L219" i="1"/>
  <c r="K219" i="1"/>
  <c r="X218" i="1"/>
  <c r="U218" i="1"/>
  <c r="T218" i="1"/>
  <c r="S218" i="1"/>
  <c r="R218" i="1"/>
  <c r="Q218" i="1"/>
  <c r="P218" i="1"/>
  <c r="O218" i="1"/>
  <c r="N218" i="1"/>
  <c r="M218" i="1"/>
  <c r="L218" i="1"/>
  <c r="K218" i="1"/>
  <c r="X217" i="1"/>
  <c r="U217" i="1"/>
  <c r="T217" i="1"/>
  <c r="S217" i="1"/>
  <c r="R217" i="1"/>
  <c r="Q217" i="1"/>
  <c r="P217" i="1"/>
  <c r="O217" i="1"/>
  <c r="N217" i="1"/>
  <c r="M217" i="1"/>
  <c r="L217" i="1"/>
  <c r="K217" i="1"/>
  <c r="X216" i="1"/>
  <c r="U216" i="1"/>
  <c r="T216" i="1"/>
  <c r="S216" i="1"/>
  <c r="R216" i="1"/>
  <c r="Q216" i="1"/>
  <c r="P216" i="1"/>
  <c r="O216" i="1"/>
  <c r="N216" i="1"/>
  <c r="M216" i="1"/>
  <c r="L216" i="1"/>
  <c r="K216" i="1"/>
  <c r="X215" i="1"/>
  <c r="U215" i="1"/>
  <c r="T215" i="1"/>
  <c r="S215" i="1"/>
  <c r="R215" i="1"/>
  <c r="Q215" i="1"/>
  <c r="P215" i="1"/>
  <c r="O215" i="1"/>
  <c r="N215" i="1"/>
  <c r="M215" i="1"/>
  <c r="L215" i="1"/>
  <c r="K215" i="1"/>
  <c r="X214" i="1"/>
  <c r="U214" i="1"/>
  <c r="T214" i="1"/>
  <c r="S214" i="1"/>
  <c r="R214" i="1"/>
  <c r="Q214" i="1"/>
  <c r="P214" i="1"/>
  <c r="O214" i="1"/>
  <c r="N214" i="1"/>
  <c r="M214" i="1"/>
  <c r="L214" i="1"/>
  <c r="K214" i="1"/>
  <c r="X213" i="1"/>
  <c r="U213" i="1"/>
  <c r="T213" i="1"/>
  <c r="S213" i="1"/>
  <c r="R213" i="1"/>
  <c r="Q213" i="1"/>
  <c r="P213" i="1"/>
  <c r="O213" i="1"/>
  <c r="N213" i="1"/>
  <c r="M213" i="1"/>
  <c r="L213" i="1"/>
  <c r="K213" i="1"/>
  <c r="X212" i="1"/>
  <c r="U212" i="1"/>
  <c r="T212" i="1"/>
  <c r="S212" i="1"/>
  <c r="R212" i="1"/>
  <c r="Q212" i="1"/>
  <c r="P212" i="1"/>
  <c r="O212" i="1"/>
  <c r="N212" i="1"/>
  <c r="M212" i="1"/>
  <c r="L212" i="1"/>
  <c r="K212" i="1"/>
  <c r="X211" i="1"/>
  <c r="U211" i="1"/>
  <c r="T211" i="1"/>
  <c r="S211" i="1"/>
  <c r="R211" i="1"/>
  <c r="Q211" i="1"/>
  <c r="P211" i="1"/>
  <c r="O211" i="1"/>
  <c r="N211" i="1"/>
  <c r="M211" i="1"/>
  <c r="L211" i="1"/>
  <c r="K211" i="1"/>
  <c r="X210" i="1"/>
  <c r="U210" i="1"/>
  <c r="T210" i="1"/>
  <c r="S210" i="1"/>
  <c r="R210" i="1"/>
  <c r="Q210" i="1"/>
  <c r="P210" i="1"/>
  <c r="O210" i="1"/>
  <c r="N210" i="1"/>
  <c r="M210" i="1"/>
  <c r="L210" i="1"/>
  <c r="K210" i="1"/>
  <c r="X209" i="1"/>
  <c r="U209" i="1"/>
  <c r="T209" i="1"/>
  <c r="S209" i="1"/>
  <c r="R209" i="1"/>
  <c r="Q209" i="1"/>
  <c r="P209" i="1"/>
  <c r="O209" i="1"/>
  <c r="N209" i="1"/>
  <c r="M209" i="1"/>
  <c r="L209" i="1"/>
  <c r="K209" i="1"/>
  <c r="X208" i="1"/>
  <c r="U208" i="1"/>
  <c r="T208" i="1"/>
  <c r="S208" i="1"/>
  <c r="R208" i="1"/>
  <c r="Q208" i="1"/>
  <c r="P208" i="1"/>
  <c r="O208" i="1"/>
  <c r="N208" i="1"/>
  <c r="M208" i="1"/>
  <c r="L208" i="1"/>
  <c r="K208" i="1"/>
  <c r="X207" i="1"/>
  <c r="U207" i="1"/>
  <c r="T207" i="1"/>
  <c r="S207" i="1"/>
  <c r="R207" i="1"/>
  <c r="Q207" i="1"/>
  <c r="P207" i="1"/>
  <c r="O207" i="1"/>
  <c r="N207" i="1"/>
  <c r="M207" i="1"/>
  <c r="L207" i="1"/>
  <c r="K207" i="1"/>
  <c r="X206" i="1"/>
  <c r="U206" i="1"/>
  <c r="T206" i="1"/>
  <c r="S206" i="1"/>
  <c r="R206" i="1"/>
  <c r="Q206" i="1"/>
  <c r="P206" i="1"/>
  <c r="O206" i="1"/>
  <c r="N206" i="1"/>
  <c r="M206" i="1"/>
  <c r="L206" i="1"/>
  <c r="K206" i="1"/>
  <c r="X205" i="1"/>
  <c r="U205" i="1"/>
  <c r="T205" i="1"/>
  <c r="S205" i="1"/>
  <c r="R205" i="1"/>
  <c r="Q205" i="1"/>
  <c r="P205" i="1"/>
  <c r="O205" i="1"/>
  <c r="N205" i="1"/>
  <c r="M205" i="1"/>
  <c r="L205" i="1"/>
  <c r="K205" i="1"/>
  <c r="X204" i="1"/>
  <c r="U204" i="1"/>
  <c r="T204" i="1"/>
  <c r="S204" i="1"/>
  <c r="R204" i="1"/>
  <c r="Q204" i="1"/>
  <c r="P204" i="1"/>
  <c r="O204" i="1"/>
  <c r="N204" i="1"/>
  <c r="M204" i="1"/>
  <c r="L204" i="1"/>
  <c r="K204" i="1"/>
  <c r="X203" i="1"/>
  <c r="U203" i="1"/>
  <c r="T203" i="1"/>
  <c r="S203" i="1"/>
  <c r="R203" i="1"/>
  <c r="Q203" i="1"/>
  <c r="P203" i="1"/>
  <c r="O203" i="1"/>
  <c r="N203" i="1"/>
  <c r="M203" i="1"/>
  <c r="L203" i="1"/>
  <c r="K203" i="1"/>
  <c r="X202" i="1"/>
  <c r="U202" i="1"/>
  <c r="T202" i="1"/>
  <c r="S202" i="1"/>
  <c r="R202" i="1"/>
  <c r="Q202" i="1"/>
  <c r="P202" i="1"/>
  <c r="O202" i="1"/>
  <c r="N202" i="1"/>
  <c r="M202" i="1"/>
  <c r="L202" i="1"/>
  <c r="K202" i="1"/>
  <c r="X201" i="1"/>
  <c r="U201" i="1"/>
  <c r="T201" i="1"/>
  <c r="S201" i="1"/>
  <c r="R201" i="1"/>
  <c r="Q201" i="1"/>
  <c r="P201" i="1"/>
  <c r="O201" i="1"/>
  <c r="N201" i="1"/>
  <c r="M201" i="1"/>
  <c r="L201" i="1"/>
  <c r="K201" i="1"/>
  <c r="X200" i="1"/>
  <c r="U200" i="1"/>
  <c r="T200" i="1"/>
  <c r="S200" i="1"/>
  <c r="R200" i="1"/>
  <c r="Q200" i="1"/>
  <c r="P200" i="1"/>
  <c r="O200" i="1"/>
  <c r="N200" i="1"/>
  <c r="M200" i="1"/>
  <c r="L200" i="1"/>
  <c r="K200" i="1"/>
  <c r="X199" i="1"/>
  <c r="U199" i="1"/>
  <c r="T199" i="1"/>
  <c r="S199" i="1"/>
  <c r="R199" i="1"/>
  <c r="Q199" i="1"/>
  <c r="P199" i="1"/>
  <c r="O199" i="1"/>
  <c r="N199" i="1"/>
  <c r="M199" i="1"/>
  <c r="L199" i="1"/>
  <c r="K199" i="1"/>
  <c r="X198" i="1"/>
  <c r="U198" i="1"/>
  <c r="T198" i="1"/>
  <c r="S198" i="1"/>
  <c r="R198" i="1"/>
  <c r="Q198" i="1"/>
  <c r="P198" i="1"/>
  <c r="O198" i="1"/>
  <c r="N198" i="1"/>
  <c r="M198" i="1"/>
  <c r="L198" i="1"/>
  <c r="K198" i="1"/>
  <c r="X197" i="1"/>
  <c r="U197" i="1"/>
  <c r="T197" i="1"/>
  <c r="S197" i="1"/>
  <c r="R197" i="1"/>
  <c r="Q197" i="1"/>
  <c r="P197" i="1"/>
  <c r="O197" i="1"/>
  <c r="N197" i="1"/>
  <c r="M197" i="1"/>
  <c r="L197" i="1"/>
  <c r="K197" i="1"/>
  <c r="X196" i="1"/>
  <c r="U196" i="1"/>
  <c r="T196" i="1"/>
  <c r="S196" i="1"/>
  <c r="R196" i="1"/>
  <c r="Q196" i="1"/>
  <c r="P196" i="1"/>
  <c r="O196" i="1"/>
  <c r="N196" i="1"/>
  <c r="M196" i="1"/>
  <c r="L196" i="1"/>
  <c r="K196" i="1"/>
  <c r="X195" i="1"/>
  <c r="U195" i="1"/>
  <c r="T195" i="1"/>
  <c r="S195" i="1"/>
  <c r="R195" i="1"/>
  <c r="Q195" i="1"/>
  <c r="P195" i="1"/>
  <c r="O195" i="1"/>
  <c r="N195" i="1"/>
  <c r="M195" i="1"/>
  <c r="L195" i="1"/>
  <c r="K195" i="1"/>
  <c r="X194" i="1"/>
  <c r="U194" i="1"/>
  <c r="T194" i="1"/>
  <c r="S194" i="1"/>
  <c r="R194" i="1"/>
  <c r="Q194" i="1"/>
  <c r="P194" i="1"/>
  <c r="O194" i="1"/>
  <c r="N194" i="1"/>
  <c r="M194" i="1"/>
  <c r="L194" i="1"/>
  <c r="K194" i="1"/>
  <c r="X193" i="1"/>
  <c r="U193" i="1"/>
  <c r="T193" i="1"/>
  <c r="S193" i="1"/>
  <c r="R193" i="1"/>
  <c r="Q193" i="1"/>
  <c r="P193" i="1"/>
  <c r="O193" i="1"/>
  <c r="N193" i="1"/>
  <c r="M193" i="1"/>
  <c r="L193" i="1"/>
  <c r="K193" i="1"/>
  <c r="X192" i="1"/>
  <c r="U192" i="1"/>
  <c r="T192" i="1"/>
  <c r="S192" i="1"/>
  <c r="R192" i="1"/>
  <c r="Q192" i="1"/>
  <c r="P192" i="1"/>
  <c r="O192" i="1"/>
  <c r="N192" i="1"/>
  <c r="M192" i="1"/>
  <c r="L192" i="1"/>
  <c r="K192" i="1"/>
  <c r="X191" i="1"/>
  <c r="U191" i="1"/>
  <c r="T191" i="1"/>
  <c r="S191" i="1"/>
  <c r="R191" i="1"/>
  <c r="Q191" i="1"/>
  <c r="P191" i="1"/>
  <c r="O191" i="1"/>
  <c r="N191" i="1"/>
  <c r="M191" i="1"/>
  <c r="L191" i="1"/>
  <c r="K191" i="1"/>
  <c r="X190" i="1"/>
  <c r="U190" i="1"/>
  <c r="T190" i="1"/>
  <c r="S190" i="1"/>
  <c r="R190" i="1"/>
  <c r="Q190" i="1"/>
  <c r="P190" i="1"/>
  <c r="O190" i="1"/>
  <c r="N190" i="1"/>
  <c r="M190" i="1"/>
  <c r="L190" i="1"/>
  <c r="K190" i="1"/>
  <c r="X189" i="1"/>
  <c r="U189" i="1"/>
  <c r="T189" i="1"/>
  <c r="S189" i="1"/>
  <c r="R189" i="1"/>
  <c r="Q189" i="1"/>
  <c r="P189" i="1"/>
  <c r="O189" i="1"/>
  <c r="N189" i="1"/>
  <c r="M189" i="1"/>
  <c r="L189" i="1"/>
  <c r="K189" i="1"/>
  <c r="X188" i="1"/>
  <c r="U188" i="1"/>
  <c r="T188" i="1"/>
  <c r="S188" i="1"/>
  <c r="R188" i="1"/>
  <c r="Q188" i="1"/>
  <c r="P188" i="1"/>
  <c r="O188" i="1"/>
  <c r="N188" i="1"/>
  <c r="M188" i="1"/>
  <c r="L188" i="1"/>
  <c r="K188" i="1"/>
  <c r="X187" i="1"/>
  <c r="U187" i="1"/>
  <c r="T187" i="1"/>
  <c r="S187" i="1"/>
  <c r="R187" i="1"/>
  <c r="Q187" i="1"/>
  <c r="P187" i="1"/>
  <c r="O187" i="1"/>
  <c r="N187" i="1"/>
  <c r="M187" i="1"/>
  <c r="L187" i="1"/>
  <c r="K187" i="1"/>
  <c r="X186" i="1"/>
  <c r="U186" i="1"/>
  <c r="T186" i="1"/>
  <c r="S186" i="1"/>
  <c r="R186" i="1"/>
  <c r="Q186" i="1"/>
  <c r="P186" i="1"/>
  <c r="O186" i="1"/>
  <c r="N186" i="1"/>
  <c r="M186" i="1"/>
  <c r="L186" i="1"/>
  <c r="K186" i="1"/>
  <c r="X185" i="1"/>
  <c r="U185" i="1"/>
  <c r="T185" i="1"/>
  <c r="S185" i="1"/>
  <c r="R185" i="1"/>
  <c r="Q185" i="1"/>
  <c r="P185" i="1"/>
  <c r="O185" i="1"/>
  <c r="N185" i="1"/>
  <c r="M185" i="1"/>
  <c r="L185" i="1"/>
  <c r="K185" i="1"/>
  <c r="X184" i="1"/>
  <c r="U184" i="1"/>
  <c r="T184" i="1"/>
  <c r="S184" i="1"/>
  <c r="R184" i="1"/>
  <c r="Q184" i="1"/>
  <c r="P184" i="1"/>
  <c r="O184" i="1"/>
  <c r="N184" i="1"/>
  <c r="M184" i="1"/>
  <c r="L184" i="1"/>
  <c r="K184" i="1"/>
  <c r="X183" i="1"/>
  <c r="U183" i="1"/>
  <c r="T183" i="1"/>
  <c r="S183" i="1"/>
  <c r="R183" i="1"/>
  <c r="Q183" i="1"/>
  <c r="P183" i="1"/>
  <c r="O183" i="1"/>
  <c r="N183" i="1"/>
  <c r="M183" i="1"/>
  <c r="L183" i="1"/>
  <c r="K183" i="1"/>
  <c r="X182" i="1"/>
  <c r="U182" i="1"/>
  <c r="T182" i="1"/>
  <c r="S182" i="1"/>
  <c r="R182" i="1"/>
  <c r="Q182" i="1"/>
  <c r="P182" i="1"/>
  <c r="O182" i="1"/>
  <c r="N182" i="1"/>
  <c r="M182" i="1"/>
  <c r="L182" i="1"/>
  <c r="K182" i="1"/>
  <c r="X181" i="1"/>
  <c r="U181" i="1"/>
  <c r="T181" i="1"/>
  <c r="S181" i="1"/>
  <c r="R181" i="1"/>
  <c r="Q181" i="1"/>
  <c r="P181" i="1"/>
  <c r="O181" i="1"/>
  <c r="N181" i="1"/>
  <c r="M181" i="1"/>
  <c r="L181" i="1"/>
  <c r="K181" i="1"/>
  <c r="X180" i="1"/>
  <c r="U180" i="1"/>
  <c r="T180" i="1"/>
  <c r="S180" i="1"/>
  <c r="R180" i="1"/>
  <c r="Q180" i="1"/>
  <c r="P180" i="1"/>
  <c r="O180" i="1"/>
  <c r="N180" i="1"/>
  <c r="M180" i="1"/>
  <c r="L180" i="1"/>
  <c r="K180" i="1"/>
  <c r="X179" i="1"/>
  <c r="U179" i="1"/>
  <c r="T179" i="1"/>
  <c r="S179" i="1"/>
  <c r="R179" i="1"/>
  <c r="Q179" i="1"/>
  <c r="P179" i="1"/>
  <c r="O179" i="1"/>
  <c r="N179" i="1"/>
  <c r="M179" i="1"/>
  <c r="L179" i="1"/>
  <c r="K179" i="1"/>
  <c r="X178" i="1"/>
  <c r="U178" i="1"/>
  <c r="T178" i="1"/>
  <c r="S178" i="1"/>
  <c r="R178" i="1"/>
  <c r="Q178" i="1"/>
  <c r="P178" i="1"/>
  <c r="O178" i="1"/>
  <c r="N178" i="1"/>
  <c r="M178" i="1"/>
  <c r="L178" i="1"/>
  <c r="K178" i="1"/>
  <c r="X177" i="1"/>
  <c r="U177" i="1"/>
  <c r="T177" i="1"/>
  <c r="S177" i="1"/>
  <c r="R177" i="1"/>
  <c r="Q177" i="1"/>
  <c r="P177" i="1"/>
  <c r="O177" i="1"/>
  <c r="N177" i="1"/>
  <c r="M177" i="1"/>
  <c r="L177" i="1"/>
  <c r="K177" i="1"/>
  <c r="X176" i="1"/>
  <c r="U176" i="1"/>
  <c r="T176" i="1"/>
  <c r="S176" i="1"/>
  <c r="R176" i="1"/>
  <c r="Q176" i="1"/>
  <c r="P176" i="1"/>
  <c r="O176" i="1"/>
  <c r="N176" i="1"/>
  <c r="M176" i="1"/>
  <c r="L176" i="1"/>
  <c r="K176" i="1"/>
  <c r="X175" i="1"/>
  <c r="U175" i="1"/>
  <c r="T175" i="1"/>
  <c r="S175" i="1"/>
  <c r="R175" i="1"/>
  <c r="Q175" i="1"/>
  <c r="P175" i="1"/>
  <c r="O175" i="1"/>
  <c r="N175" i="1"/>
  <c r="M175" i="1"/>
  <c r="L175" i="1"/>
  <c r="K175" i="1"/>
  <c r="X174" i="1"/>
  <c r="U174" i="1"/>
  <c r="T174" i="1"/>
  <c r="S174" i="1"/>
  <c r="R174" i="1"/>
  <c r="Q174" i="1"/>
  <c r="P174" i="1"/>
  <c r="O174" i="1"/>
  <c r="N174" i="1"/>
  <c r="M174" i="1"/>
  <c r="L174" i="1"/>
  <c r="K174" i="1"/>
  <c r="X173" i="1"/>
  <c r="U173" i="1"/>
  <c r="T173" i="1"/>
  <c r="S173" i="1"/>
  <c r="R173" i="1"/>
  <c r="Q173" i="1"/>
  <c r="P173" i="1"/>
  <c r="O173" i="1"/>
  <c r="N173" i="1"/>
  <c r="M173" i="1"/>
  <c r="L173" i="1"/>
  <c r="K173" i="1"/>
  <c r="X172" i="1"/>
  <c r="U172" i="1"/>
  <c r="T172" i="1"/>
  <c r="S172" i="1"/>
  <c r="R172" i="1"/>
  <c r="Q172" i="1"/>
  <c r="P172" i="1"/>
  <c r="O172" i="1"/>
  <c r="N172" i="1"/>
  <c r="M172" i="1"/>
  <c r="L172" i="1"/>
  <c r="K172" i="1"/>
  <c r="X171" i="1"/>
  <c r="U171" i="1"/>
  <c r="T171" i="1"/>
  <c r="S171" i="1"/>
  <c r="R171" i="1"/>
  <c r="Q171" i="1"/>
  <c r="P171" i="1"/>
  <c r="O171" i="1"/>
  <c r="N171" i="1"/>
  <c r="M171" i="1"/>
  <c r="L171" i="1"/>
  <c r="K171" i="1"/>
  <c r="X170" i="1"/>
  <c r="U170" i="1"/>
  <c r="T170" i="1"/>
  <c r="S170" i="1"/>
  <c r="R170" i="1"/>
  <c r="Q170" i="1"/>
  <c r="P170" i="1"/>
  <c r="O170" i="1"/>
  <c r="N170" i="1"/>
  <c r="M170" i="1"/>
  <c r="L170" i="1"/>
  <c r="K170" i="1"/>
  <c r="X169" i="1"/>
  <c r="U169" i="1"/>
  <c r="T169" i="1"/>
  <c r="S169" i="1"/>
  <c r="R169" i="1"/>
  <c r="Q169" i="1"/>
  <c r="P169" i="1"/>
  <c r="O169" i="1"/>
  <c r="N169" i="1"/>
  <c r="M169" i="1"/>
  <c r="L169" i="1"/>
  <c r="K169" i="1"/>
  <c r="X168" i="1"/>
  <c r="U168" i="1"/>
  <c r="T168" i="1"/>
  <c r="S168" i="1"/>
  <c r="R168" i="1"/>
  <c r="Q168" i="1"/>
  <c r="P168" i="1"/>
  <c r="O168" i="1"/>
  <c r="N168" i="1"/>
  <c r="M168" i="1"/>
  <c r="L168" i="1"/>
  <c r="K168" i="1"/>
  <c r="X167" i="1"/>
  <c r="U167" i="1"/>
  <c r="T167" i="1"/>
  <c r="S167" i="1"/>
  <c r="R167" i="1"/>
  <c r="Q167" i="1"/>
  <c r="P167" i="1"/>
  <c r="O167" i="1"/>
  <c r="N167" i="1"/>
  <c r="M167" i="1"/>
  <c r="L167" i="1"/>
  <c r="K167" i="1"/>
  <c r="X166" i="1"/>
  <c r="U166" i="1"/>
  <c r="T166" i="1"/>
  <c r="S166" i="1"/>
  <c r="R166" i="1"/>
  <c r="Q166" i="1"/>
  <c r="P166" i="1"/>
  <c r="O166" i="1"/>
  <c r="N166" i="1"/>
  <c r="M166" i="1"/>
  <c r="L166" i="1"/>
  <c r="K166" i="1"/>
  <c r="X165" i="1"/>
  <c r="U165" i="1"/>
  <c r="T165" i="1"/>
  <c r="S165" i="1"/>
  <c r="R165" i="1"/>
  <c r="Q165" i="1"/>
  <c r="P165" i="1"/>
  <c r="O165" i="1"/>
  <c r="N165" i="1"/>
  <c r="M165" i="1"/>
  <c r="L165" i="1"/>
  <c r="K165" i="1"/>
  <c r="X164" i="1"/>
  <c r="U164" i="1"/>
  <c r="T164" i="1"/>
  <c r="S164" i="1"/>
  <c r="R164" i="1"/>
  <c r="Q164" i="1"/>
  <c r="P164" i="1"/>
  <c r="O164" i="1"/>
  <c r="N164" i="1"/>
  <c r="M164" i="1"/>
  <c r="L164" i="1"/>
  <c r="K164" i="1"/>
  <c r="X163" i="1"/>
  <c r="U163" i="1"/>
  <c r="T163" i="1"/>
  <c r="S163" i="1"/>
  <c r="R163" i="1"/>
  <c r="Q163" i="1"/>
  <c r="P163" i="1"/>
  <c r="O163" i="1"/>
  <c r="N163" i="1"/>
  <c r="M163" i="1"/>
  <c r="L163" i="1"/>
  <c r="K163" i="1"/>
  <c r="X162" i="1"/>
  <c r="U162" i="1"/>
  <c r="T162" i="1"/>
  <c r="S162" i="1"/>
  <c r="R162" i="1"/>
  <c r="Q162" i="1"/>
  <c r="P162" i="1"/>
  <c r="O162" i="1"/>
  <c r="N162" i="1"/>
  <c r="M162" i="1"/>
  <c r="L162" i="1"/>
  <c r="K162" i="1"/>
  <c r="X161" i="1"/>
  <c r="U161" i="1"/>
  <c r="T161" i="1"/>
  <c r="S161" i="1"/>
  <c r="R161" i="1"/>
  <c r="Q161" i="1"/>
  <c r="P161" i="1"/>
  <c r="O161" i="1"/>
  <c r="N161" i="1"/>
  <c r="M161" i="1"/>
  <c r="L161" i="1"/>
  <c r="K161" i="1"/>
  <c r="X160" i="1"/>
  <c r="U160" i="1"/>
  <c r="T160" i="1"/>
  <c r="S160" i="1"/>
  <c r="R160" i="1"/>
  <c r="Q160" i="1"/>
  <c r="P160" i="1"/>
  <c r="O160" i="1"/>
  <c r="N160" i="1"/>
  <c r="M160" i="1"/>
  <c r="L160" i="1"/>
  <c r="K160" i="1"/>
  <c r="X159" i="1"/>
  <c r="U159" i="1"/>
  <c r="T159" i="1"/>
  <c r="S159" i="1"/>
  <c r="R159" i="1"/>
  <c r="Q159" i="1"/>
  <c r="P159" i="1"/>
  <c r="O159" i="1"/>
  <c r="N159" i="1"/>
  <c r="M159" i="1"/>
  <c r="L159" i="1"/>
  <c r="K159" i="1"/>
  <c r="X158" i="1"/>
  <c r="U158" i="1"/>
  <c r="T158" i="1"/>
  <c r="S158" i="1"/>
  <c r="R158" i="1"/>
  <c r="Q158" i="1"/>
  <c r="P158" i="1"/>
  <c r="O158" i="1"/>
  <c r="N158" i="1"/>
  <c r="M158" i="1"/>
  <c r="L158" i="1"/>
  <c r="K158" i="1"/>
  <c r="X157" i="1"/>
  <c r="U157" i="1"/>
  <c r="T157" i="1"/>
  <c r="S157" i="1"/>
  <c r="R157" i="1"/>
  <c r="Q157" i="1"/>
  <c r="P157" i="1"/>
  <c r="O157" i="1"/>
  <c r="N157" i="1"/>
  <c r="M157" i="1"/>
  <c r="L157" i="1"/>
  <c r="K157" i="1"/>
  <c r="X156" i="1"/>
  <c r="U156" i="1"/>
  <c r="T156" i="1"/>
  <c r="S156" i="1"/>
  <c r="R156" i="1"/>
  <c r="Q156" i="1"/>
  <c r="P156" i="1"/>
  <c r="O156" i="1"/>
  <c r="N156" i="1"/>
  <c r="M156" i="1"/>
  <c r="L156" i="1"/>
  <c r="K156" i="1"/>
  <c r="X155" i="1"/>
  <c r="U155" i="1"/>
  <c r="T155" i="1"/>
  <c r="S155" i="1"/>
  <c r="R155" i="1"/>
  <c r="Q155" i="1"/>
  <c r="P155" i="1"/>
  <c r="O155" i="1"/>
  <c r="N155" i="1"/>
  <c r="M155" i="1"/>
  <c r="L155" i="1"/>
  <c r="K155" i="1"/>
  <c r="X154" i="1"/>
  <c r="U154" i="1"/>
  <c r="T154" i="1"/>
  <c r="S154" i="1"/>
  <c r="R154" i="1"/>
  <c r="Q154" i="1"/>
  <c r="P154" i="1"/>
  <c r="O154" i="1"/>
  <c r="N154" i="1"/>
  <c r="M154" i="1"/>
  <c r="L154" i="1"/>
  <c r="K154" i="1"/>
  <c r="X153" i="1"/>
  <c r="U153" i="1"/>
  <c r="T153" i="1"/>
  <c r="S153" i="1"/>
  <c r="R153" i="1"/>
  <c r="Q153" i="1"/>
  <c r="P153" i="1"/>
  <c r="O153" i="1"/>
  <c r="N153" i="1"/>
  <c r="M153" i="1"/>
  <c r="L153" i="1"/>
  <c r="K153" i="1"/>
  <c r="X152" i="1"/>
  <c r="U152" i="1"/>
  <c r="T152" i="1"/>
  <c r="S152" i="1"/>
  <c r="R152" i="1"/>
  <c r="Q152" i="1"/>
  <c r="P152" i="1"/>
  <c r="O152" i="1"/>
  <c r="N152" i="1"/>
  <c r="M152" i="1"/>
  <c r="L152" i="1"/>
  <c r="K152" i="1"/>
  <c r="X151" i="1"/>
  <c r="U151" i="1"/>
  <c r="T151" i="1"/>
  <c r="S151" i="1"/>
  <c r="R151" i="1"/>
  <c r="Q151" i="1"/>
  <c r="P151" i="1"/>
  <c r="O151" i="1"/>
  <c r="N151" i="1"/>
  <c r="M151" i="1"/>
  <c r="L151" i="1"/>
  <c r="K151" i="1"/>
  <c r="X150" i="1"/>
  <c r="U150" i="1"/>
  <c r="T150" i="1"/>
  <c r="S150" i="1"/>
  <c r="R150" i="1"/>
  <c r="Q150" i="1"/>
  <c r="P150" i="1"/>
  <c r="O150" i="1"/>
  <c r="N150" i="1"/>
  <c r="M150" i="1"/>
  <c r="L150" i="1"/>
  <c r="K150" i="1"/>
  <c r="X149" i="1"/>
  <c r="U149" i="1"/>
  <c r="T149" i="1"/>
  <c r="S149" i="1"/>
  <c r="R149" i="1"/>
  <c r="Q149" i="1"/>
  <c r="P149" i="1"/>
  <c r="O149" i="1"/>
  <c r="N149" i="1"/>
  <c r="M149" i="1"/>
  <c r="L149" i="1"/>
  <c r="K149" i="1"/>
  <c r="X148" i="1"/>
  <c r="U148" i="1"/>
  <c r="T148" i="1"/>
  <c r="S148" i="1"/>
  <c r="R148" i="1"/>
  <c r="Q148" i="1"/>
  <c r="P148" i="1"/>
  <c r="O148" i="1"/>
  <c r="N148" i="1"/>
  <c r="M148" i="1"/>
  <c r="L148" i="1"/>
  <c r="K148" i="1"/>
  <c r="X147" i="1"/>
  <c r="U147" i="1"/>
  <c r="T147" i="1"/>
  <c r="S147" i="1"/>
  <c r="R147" i="1"/>
  <c r="Q147" i="1"/>
  <c r="P147" i="1"/>
  <c r="O147" i="1"/>
  <c r="N147" i="1"/>
  <c r="M147" i="1"/>
  <c r="L147" i="1"/>
  <c r="K147" i="1"/>
  <c r="X146" i="1"/>
  <c r="U146" i="1"/>
  <c r="T146" i="1"/>
  <c r="S146" i="1"/>
  <c r="R146" i="1"/>
  <c r="Q146" i="1"/>
  <c r="P146" i="1"/>
  <c r="O146" i="1"/>
  <c r="N146" i="1"/>
  <c r="M146" i="1"/>
  <c r="L146" i="1"/>
  <c r="K146" i="1"/>
  <c r="X145" i="1"/>
  <c r="U145" i="1"/>
  <c r="T145" i="1"/>
  <c r="S145" i="1"/>
  <c r="R145" i="1"/>
  <c r="Q145" i="1"/>
  <c r="P145" i="1"/>
  <c r="O145" i="1"/>
  <c r="N145" i="1"/>
  <c r="M145" i="1"/>
  <c r="L145" i="1"/>
  <c r="K145" i="1"/>
  <c r="X144" i="1"/>
  <c r="U144" i="1"/>
  <c r="T144" i="1"/>
  <c r="S144" i="1"/>
  <c r="R144" i="1"/>
  <c r="Q144" i="1"/>
  <c r="P144" i="1"/>
  <c r="O144" i="1"/>
  <c r="N144" i="1"/>
  <c r="M144" i="1"/>
  <c r="L144" i="1"/>
  <c r="K144" i="1"/>
  <c r="X143" i="1"/>
  <c r="U143" i="1"/>
  <c r="T143" i="1"/>
  <c r="S143" i="1"/>
  <c r="R143" i="1"/>
  <c r="Q143" i="1"/>
  <c r="P143" i="1"/>
  <c r="O143" i="1"/>
  <c r="N143" i="1"/>
  <c r="M143" i="1"/>
  <c r="L143" i="1"/>
  <c r="K143" i="1"/>
  <c r="X142" i="1"/>
  <c r="U142" i="1"/>
  <c r="T142" i="1"/>
  <c r="S142" i="1"/>
  <c r="R142" i="1"/>
  <c r="Q142" i="1"/>
  <c r="P142" i="1"/>
  <c r="O142" i="1"/>
  <c r="N142" i="1"/>
  <c r="M142" i="1"/>
  <c r="L142" i="1"/>
  <c r="K142" i="1"/>
  <c r="X141" i="1"/>
  <c r="U141" i="1"/>
  <c r="T141" i="1"/>
  <c r="S141" i="1"/>
  <c r="R141" i="1"/>
  <c r="Q141" i="1"/>
  <c r="P141" i="1"/>
  <c r="O141" i="1"/>
  <c r="N141" i="1"/>
  <c r="M141" i="1"/>
  <c r="L141" i="1"/>
  <c r="K141" i="1"/>
  <c r="X140" i="1"/>
  <c r="U140" i="1"/>
  <c r="T140" i="1"/>
  <c r="S140" i="1"/>
  <c r="R140" i="1"/>
  <c r="Q140" i="1"/>
  <c r="P140" i="1"/>
  <c r="O140" i="1"/>
  <c r="N140" i="1"/>
  <c r="M140" i="1"/>
  <c r="L140" i="1"/>
  <c r="K140" i="1"/>
  <c r="X139" i="1"/>
  <c r="U139" i="1"/>
  <c r="T139" i="1"/>
  <c r="S139" i="1"/>
  <c r="R139" i="1"/>
  <c r="Q139" i="1"/>
  <c r="P139" i="1"/>
  <c r="O139" i="1"/>
  <c r="N139" i="1"/>
  <c r="M139" i="1"/>
  <c r="L139" i="1"/>
  <c r="K139" i="1"/>
  <c r="X138" i="1"/>
  <c r="U138" i="1"/>
  <c r="T138" i="1"/>
  <c r="S138" i="1"/>
  <c r="R138" i="1"/>
  <c r="Q138" i="1"/>
  <c r="P138" i="1"/>
  <c r="O138" i="1"/>
  <c r="N138" i="1"/>
  <c r="M138" i="1"/>
  <c r="L138" i="1"/>
  <c r="K138" i="1"/>
  <c r="X137" i="1"/>
  <c r="U137" i="1"/>
  <c r="T137" i="1"/>
  <c r="S137" i="1"/>
  <c r="R137" i="1"/>
  <c r="Q137" i="1"/>
  <c r="P137" i="1"/>
  <c r="O137" i="1"/>
  <c r="N137" i="1"/>
  <c r="M137" i="1"/>
  <c r="L137" i="1"/>
  <c r="K137" i="1"/>
  <c r="X136" i="1"/>
  <c r="U136" i="1"/>
  <c r="T136" i="1"/>
  <c r="S136" i="1"/>
  <c r="R136" i="1"/>
  <c r="Q136" i="1"/>
  <c r="P136" i="1"/>
  <c r="O136" i="1"/>
  <c r="N136" i="1"/>
  <c r="M136" i="1"/>
  <c r="L136" i="1"/>
  <c r="K136" i="1"/>
  <c r="X135" i="1"/>
  <c r="U135" i="1"/>
  <c r="T135" i="1"/>
  <c r="S135" i="1"/>
  <c r="R135" i="1"/>
  <c r="Q135" i="1"/>
  <c r="P135" i="1"/>
  <c r="O135" i="1"/>
  <c r="N135" i="1"/>
  <c r="M135" i="1"/>
  <c r="L135" i="1"/>
  <c r="K135" i="1"/>
  <c r="X134" i="1"/>
  <c r="U134" i="1"/>
  <c r="T134" i="1"/>
  <c r="S134" i="1"/>
  <c r="R134" i="1"/>
  <c r="Q134" i="1"/>
  <c r="P134" i="1"/>
  <c r="O134" i="1"/>
  <c r="N134" i="1"/>
  <c r="M134" i="1"/>
  <c r="L134" i="1"/>
  <c r="K134" i="1"/>
  <c r="X133" i="1"/>
  <c r="U133" i="1"/>
  <c r="T133" i="1"/>
  <c r="S133" i="1"/>
  <c r="R133" i="1"/>
  <c r="Q133" i="1"/>
  <c r="P133" i="1"/>
  <c r="O133" i="1"/>
  <c r="N133" i="1"/>
  <c r="M133" i="1"/>
  <c r="L133" i="1"/>
  <c r="K133" i="1"/>
  <c r="X132" i="1"/>
  <c r="U132" i="1"/>
  <c r="T132" i="1"/>
  <c r="S132" i="1"/>
  <c r="R132" i="1"/>
  <c r="Q132" i="1"/>
  <c r="P132" i="1"/>
  <c r="O132" i="1"/>
  <c r="N132" i="1"/>
  <c r="M132" i="1"/>
  <c r="L132" i="1"/>
  <c r="K132" i="1"/>
  <c r="X131" i="1"/>
  <c r="U131" i="1"/>
  <c r="T131" i="1"/>
  <c r="S131" i="1"/>
  <c r="R131" i="1"/>
  <c r="Q131" i="1"/>
  <c r="P131" i="1"/>
  <c r="O131" i="1"/>
  <c r="N131" i="1"/>
  <c r="M131" i="1"/>
  <c r="L131" i="1"/>
  <c r="K131" i="1"/>
  <c r="X130" i="1"/>
  <c r="U130" i="1"/>
  <c r="T130" i="1"/>
  <c r="S130" i="1"/>
  <c r="R130" i="1"/>
  <c r="Q130" i="1"/>
  <c r="P130" i="1"/>
  <c r="O130" i="1"/>
  <c r="N130" i="1"/>
  <c r="M130" i="1"/>
  <c r="L130" i="1"/>
  <c r="K130" i="1"/>
  <c r="X129" i="1"/>
  <c r="U129" i="1"/>
  <c r="T129" i="1"/>
  <c r="S129" i="1"/>
  <c r="R129" i="1"/>
  <c r="Q129" i="1"/>
  <c r="P129" i="1"/>
  <c r="O129" i="1"/>
  <c r="N129" i="1"/>
  <c r="M129" i="1"/>
  <c r="L129" i="1"/>
  <c r="K129" i="1"/>
  <c r="X128" i="1"/>
  <c r="U128" i="1"/>
  <c r="T128" i="1"/>
  <c r="S128" i="1"/>
  <c r="R128" i="1"/>
  <c r="Q128" i="1"/>
  <c r="P128" i="1"/>
  <c r="O128" i="1"/>
  <c r="N128" i="1"/>
  <c r="M128" i="1"/>
  <c r="L128" i="1"/>
  <c r="K128" i="1"/>
  <c r="X127" i="1"/>
  <c r="U127" i="1"/>
  <c r="T127" i="1"/>
  <c r="S127" i="1"/>
  <c r="R127" i="1"/>
  <c r="Q127" i="1"/>
  <c r="P127" i="1"/>
  <c r="O127" i="1"/>
  <c r="N127" i="1"/>
  <c r="M127" i="1"/>
  <c r="L127" i="1"/>
  <c r="K127" i="1"/>
  <c r="X126" i="1"/>
  <c r="U126" i="1"/>
  <c r="T126" i="1"/>
  <c r="S126" i="1"/>
  <c r="R126" i="1"/>
  <c r="Q126" i="1"/>
  <c r="P126" i="1"/>
  <c r="O126" i="1"/>
  <c r="N126" i="1"/>
  <c r="M126" i="1"/>
  <c r="L126" i="1"/>
  <c r="K126" i="1"/>
  <c r="X125" i="1"/>
  <c r="U125" i="1"/>
  <c r="T125" i="1"/>
  <c r="S125" i="1"/>
  <c r="R125" i="1"/>
  <c r="Q125" i="1"/>
  <c r="P125" i="1"/>
  <c r="O125" i="1"/>
  <c r="N125" i="1"/>
  <c r="M125" i="1"/>
  <c r="L125" i="1"/>
  <c r="K125" i="1"/>
  <c r="X124" i="1"/>
  <c r="U124" i="1"/>
  <c r="T124" i="1"/>
  <c r="S124" i="1"/>
  <c r="R124" i="1"/>
  <c r="Q124" i="1"/>
  <c r="P124" i="1"/>
  <c r="O124" i="1"/>
  <c r="N124" i="1"/>
  <c r="M124" i="1"/>
  <c r="L124" i="1"/>
  <c r="K124" i="1"/>
  <c r="X123" i="1"/>
  <c r="U123" i="1"/>
  <c r="T123" i="1"/>
  <c r="S123" i="1"/>
  <c r="R123" i="1"/>
  <c r="Q123" i="1"/>
  <c r="P123" i="1"/>
  <c r="O123" i="1"/>
  <c r="N123" i="1"/>
  <c r="M123" i="1"/>
  <c r="L123" i="1"/>
  <c r="K123" i="1"/>
  <c r="X122" i="1"/>
  <c r="U122" i="1"/>
  <c r="T122" i="1"/>
  <c r="S122" i="1"/>
  <c r="R122" i="1"/>
  <c r="Q122" i="1"/>
  <c r="P122" i="1"/>
  <c r="O122" i="1"/>
  <c r="N122" i="1"/>
  <c r="M122" i="1"/>
  <c r="L122" i="1"/>
  <c r="K122" i="1"/>
  <c r="X121" i="1"/>
  <c r="U121" i="1"/>
  <c r="T121" i="1"/>
  <c r="S121" i="1"/>
  <c r="R121" i="1"/>
  <c r="Q121" i="1"/>
  <c r="P121" i="1"/>
  <c r="O121" i="1"/>
  <c r="N121" i="1"/>
  <c r="M121" i="1"/>
  <c r="L121" i="1"/>
  <c r="K121" i="1"/>
  <c r="X120" i="1"/>
  <c r="U120" i="1"/>
  <c r="T120" i="1"/>
  <c r="S120" i="1"/>
  <c r="R120" i="1"/>
  <c r="Q120" i="1"/>
  <c r="P120" i="1"/>
  <c r="O120" i="1"/>
  <c r="N120" i="1"/>
  <c r="M120" i="1"/>
  <c r="L120" i="1"/>
  <c r="K120" i="1"/>
  <c r="X119" i="1"/>
  <c r="U119" i="1"/>
  <c r="T119" i="1"/>
  <c r="S119" i="1"/>
  <c r="R119" i="1"/>
  <c r="Q119" i="1"/>
  <c r="P119" i="1"/>
  <c r="O119" i="1"/>
  <c r="N119" i="1"/>
  <c r="M119" i="1"/>
  <c r="L119" i="1"/>
  <c r="K119" i="1"/>
  <c r="X118" i="1"/>
  <c r="U118" i="1"/>
  <c r="T118" i="1"/>
  <c r="S118" i="1"/>
  <c r="R118" i="1"/>
  <c r="Q118" i="1"/>
  <c r="P118" i="1"/>
  <c r="O118" i="1"/>
  <c r="N118" i="1"/>
  <c r="M118" i="1"/>
  <c r="L118" i="1"/>
  <c r="K118" i="1"/>
  <c r="X117" i="1"/>
  <c r="U117" i="1"/>
  <c r="T117" i="1"/>
  <c r="S117" i="1"/>
  <c r="R117" i="1"/>
  <c r="Q117" i="1"/>
  <c r="P117" i="1"/>
  <c r="O117" i="1"/>
  <c r="N117" i="1"/>
  <c r="M117" i="1"/>
  <c r="L117" i="1"/>
  <c r="K117" i="1"/>
  <c r="X116" i="1"/>
  <c r="U116" i="1"/>
  <c r="T116" i="1"/>
  <c r="S116" i="1"/>
  <c r="R116" i="1"/>
  <c r="Q116" i="1"/>
  <c r="P116" i="1"/>
  <c r="O116" i="1"/>
  <c r="N116" i="1"/>
  <c r="M116" i="1"/>
  <c r="L116" i="1"/>
  <c r="K116" i="1"/>
  <c r="X115" i="1"/>
  <c r="U115" i="1"/>
  <c r="T115" i="1"/>
  <c r="S115" i="1"/>
  <c r="R115" i="1"/>
  <c r="Q115" i="1"/>
  <c r="P115" i="1"/>
  <c r="O115" i="1"/>
  <c r="N115" i="1"/>
  <c r="M115" i="1"/>
  <c r="L115" i="1"/>
  <c r="K115" i="1"/>
  <c r="X114" i="1"/>
  <c r="U114" i="1"/>
  <c r="T114" i="1"/>
  <c r="S114" i="1"/>
  <c r="R114" i="1"/>
  <c r="Q114" i="1"/>
  <c r="P114" i="1"/>
  <c r="O114" i="1"/>
  <c r="N114" i="1"/>
  <c r="M114" i="1"/>
  <c r="L114" i="1"/>
  <c r="K114" i="1"/>
  <c r="X113" i="1"/>
  <c r="U113" i="1"/>
  <c r="T113" i="1"/>
  <c r="S113" i="1"/>
  <c r="R113" i="1"/>
  <c r="Q113" i="1"/>
  <c r="P113" i="1"/>
  <c r="O113" i="1"/>
  <c r="N113" i="1"/>
  <c r="M113" i="1"/>
  <c r="L113" i="1"/>
  <c r="K113" i="1"/>
  <c r="X112" i="1"/>
  <c r="U112" i="1"/>
  <c r="T112" i="1"/>
  <c r="S112" i="1"/>
  <c r="R112" i="1"/>
  <c r="Q112" i="1"/>
  <c r="P112" i="1"/>
  <c r="O112" i="1"/>
  <c r="N112" i="1"/>
  <c r="M112" i="1"/>
  <c r="L112" i="1"/>
  <c r="K112" i="1"/>
  <c r="X111" i="1"/>
  <c r="U111" i="1"/>
  <c r="T111" i="1"/>
  <c r="S111" i="1"/>
  <c r="R111" i="1"/>
  <c r="Q111" i="1"/>
  <c r="P111" i="1"/>
  <c r="O111" i="1"/>
  <c r="N111" i="1"/>
  <c r="M111" i="1"/>
  <c r="L111" i="1"/>
  <c r="K111" i="1"/>
  <c r="X110" i="1"/>
  <c r="U110" i="1"/>
  <c r="T110" i="1"/>
  <c r="S110" i="1"/>
  <c r="R110" i="1"/>
  <c r="Q110" i="1"/>
  <c r="P110" i="1"/>
  <c r="O110" i="1"/>
  <c r="N110" i="1"/>
  <c r="M110" i="1"/>
  <c r="L110" i="1"/>
  <c r="K110" i="1"/>
  <c r="X109" i="1"/>
  <c r="U109" i="1"/>
  <c r="T109" i="1"/>
  <c r="S109" i="1"/>
  <c r="R109" i="1"/>
  <c r="Q109" i="1"/>
  <c r="P109" i="1"/>
  <c r="O109" i="1"/>
  <c r="N109" i="1"/>
  <c r="M109" i="1"/>
  <c r="L109" i="1"/>
  <c r="K109" i="1"/>
  <c r="X108" i="1"/>
  <c r="U108" i="1"/>
  <c r="T108" i="1"/>
  <c r="S108" i="1"/>
  <c r="R108" i="1"/>
  <c r="Q108" i="1"/>
  <c r="P108" i="1"/>
  <c r="O108" i="1"/>
  <c r="N108" i="1"/>
  <c r="M108" i="1"/>
  <c r="L108" i="1"/>
  <c r="K108" i="1"/>
  <c r="X107" i="1"/>
  <c r="U107" i="1"/>
  <c r="T107" i="1"/>
  <c r="S107" i="1"/>
  <c r="R107" i="1"/>
  <c r="Q107" i="1"/>
  <c r="P107" i="1"/>
  <c r="O107" i="1"/>
  <c r="N107" i="1"/>
  <c r="M107" i="1"/>
  <c r="L107" i="1"/>
  <c r="K107" i="1"/>
  <c r="X106" i="1"/>
  <c r="U106" i="1"/>
  <c r="T106" i="1"/>
  <c r="S106" i="1"/>
  <c r="R106" i="1"/>
  <c r="Q106" i="1"/>
  <c r="P106" i="1"/>
  <c r="O106" i="1"/>
  <c r="N106" i="1"/>
  <c r="M106" i="1"/>
  <c r="L106" i="1"/>
  <c r="K106" i="1"/>
  <c r="X105" i="1"/>
  <c r="U105" i="1"/>
  <c r="T105" i="1"/>
  <c r="S105" i="1"/>
  <c r="R105" i="1"/>
  <c r="Q105" i="1"/>
  <c r="P105" i="1"/>
  <c r="O105" i="1"/>
  <c r="N105" i="1"/>
  <c r="M105" i="1"/>
  <c r="L105" i="1"/>
  <c r="K105" i="1"/>
  <c r="X104" i="1"/>
  <c r="U104" i="1"/>
  <c r="T104" i="1"/>
  <c r="S104" i="1"/>
  <c r="R104" i="1"/>
  <c r="Q104" i="1"/>
  <c r="P104" i="1"/>
  <c r="O104" i="1"/>
  <c r="N104" i="1"/>
  <c r="M104" i="1"/>
  <c r="L104" i="1"/>
  <c r="K104" i="1"/>
  <c r="X103" i="1"/>
  <c r="U103" i="1"/>
  <c r="T103" i="1"/>
  <c r="S103" i="1"/>
  <c r="R103" i="1"/>
  <c r="Q103" i="1"/>
  <c r="P103" i="1"/>
  <c r="O103" i="1"/>
  <c r="N103" i="1"/>
  <c r="M103" i="1"/>
  <c r="L103" i="1"/>
  <c r="K103" i="1"/>
  <c r="X102" i="1"/>
  <c r="U102" i="1"/>
  <c r="T102" i="1"/>
  <c r="S102" i="1"/>
  <c r="R102" i="1"/>
  <c r="Q102" i="1"/>
  <c r="P102" i="1"/>
  <c r="O102" i="1"/>
  <c r="N102" i="1"/>
  <c r="M102" i="1"/>
  <c r="L102" i="1"/>
  <c r="K102" i="1"/>
  <c r="X101" i="1"/>
  <c r="U101" i="1"/>
  <c r="T101" i="1"/>
  <c r="S101" i="1"/>
  <c r="R101" i="1"/>
  <c r="Q101" i="1"/>
  <c r="P101" i="1"/>
  <c r="O101" i="1"/>
  <c r="N101" i="1"/>
  <c r="M101" i="1"/>
  <c r="L101" i="1"/>
  <c r="K101" i="1"/>
  <c r="X100" i="1"/>
  <c r="U100" i="1"/>
  <c r="T100" i="1"/>
  <c r="S100" i="1"/>
  <c r="R100" i="1"/>
  <c r="Q100" i="1"/>
  <c r="P100" i="1"/>
  <c r="O100" i="1"/>
  <c r="N100" i="1"/>
  <c r="M100" i="1"/>
  <c r="L100" i="1"/>
  <c r="K100" i="1"/>
  <c r="X99" i="1"/>
  <c r="U99" i="1"/>
  <c r="T99" i="1"/>
  <c r="S99" i="1"/>
  <c r="R99" i="1"/>
  <c r="Q99" i="1"/>
  <c r="P99" i="1"/>
  <c r="O99" i="1"/>
  <c r="N99" i="1"/>
  <c r="M99" i="1"/>
  <c r="L99" i="1"/>
  <c r="K99" i="1"/>
  <c r="X98" i="1"/>
  <c r="U98" i="1"/>
  <c r="T98" i="1"/>
  <c r="S98" i="1"/>
  <c r="R98" i="1"/>
  <c r="Q98" i="1"/>
  <c r="P98" i="1"/>
  <c r="O98" i="1"/>
  <c r="N98" i="1"/>
  <c r="M98" i="1"/>
  <c r="L98" i="1"/>
  <c r="K98" i="1"/>
  <c r="X97" i="1"/>
  <c r="U97" i="1"/>
  <c r="T97" i="1"/>
  <c r="S97" i="1"/>
  <c r="R97" i="1"/>
  <c r="Q97" i="1"/>
  <c r="P97" i="1"/>
  <c r="O97" i="1"/>
  <c r="N97" i="1"/>
  <c r="M97" i="1"/>
  <c r="L97" i="1"/>
  <c r="K97" i="1"/>
  <c r="X96" i="1"/>
  <c r="U96" i="1"/>
  <c r="T96" i="1"/>
  <c r="S96" i="1"/>
  <c r="R96" i="1"/>
  <c r="Q96" i="1"/>
  <c r="P96" i="1"/>
  <c r="O96" i="1"/>
  <c r="N96" i="1"/>
  <c r="M96" i="1"/>
  <c r="L96" i="1"/>
  <c r="K96" i="1"/>
  <c r="X95" i="1"/>
  <c r="U95" i="1"/>
  <c r="T95" i="1"/>
  <c r="S95" i="1"/>
  <c r="R95" i="1"/>
  <c r="Q95" i="1"/>
  <c r="P95" i="1"/>
  <c r="O95" i="1"/>
  <c r="N95" i="1"/>
  <c r="M95" i="1"/>
  <c r="L95" i="1"/>
  <c r="K95" i="1"/>
  <c r="X94" i="1"/>
  <c r="U94" i="1"/>
  <c r="T94" i="1"/>
  <c r="S94" i="1"/>
  <c r="R94" i="1"/>
  <c r="Q94" i="1"/>
  <c r="P94" i="1"/>
  <c r="O94" i="1"/>
  <c r="N94" i="1"/>
  <c r="M94" i="1"/>
  <c r="L94" i="1"/>
  <c r="K94" i="1"/>
  <c r="X93" i="1"/>
  <c r="U93" i="1"/>
  <c r="T93" i="1"/>
  <c r="S93" i="1"/>
  <c r="R93" i="1"/>
  <c r="Q93" i="1"/>
  <c r="P93" i="1"/>
  <c r="O93" i="1"/>
  <c r="N93" i="1"/>
  <c r="M93" i="1"/>
  <c r="L93" i="1"/>
  <c r="K93" i="1"/>
  <c r="X92" i="1"/>
  <c r="U92" i="1"/>
  <c r="T92" i="1"/>
  <c r="S92" i="1"/>
  <c r="R92" i="1"/>
  <c r="Q92" i="1"/>
  <c r="P92" i="1"/>
  <c r="O92" i="1"/>
  <c r="N92" i="1"/>
  <c r="M92" i="1"/>
  <c r="L92" i="1"/>
  <c r="K92" i="1"/>
  <c r="X91" i="1"/>
  <c r="U91" i="1"/>
  <c r="T91" i="1"/>
  <c r="S91" i="1"/>
  <c r="R91" i="1"/>
  <c r="Q91" i="1"/>
  <c r="P91" i="1"/>
  <c r="O91" i="1"/>
  <c r="N91" i="1"/>
  <c r="M91" i="1"/>
  <c r="L91" i="1"/>
  <c r="K91" i="1"/>
  <c r="X90" i="1"/>
  <c r="U90" i="1"/>
  <c r="T90" i="1"/>
  <c r="S90" i="1"/>
  <c r="R90" i="1"/>
  <c r="Q90" i="1"/>
  <c r="P90" i="1"/>
  <c r="O90" i="1"/>
  <c r="N90" i="1"/>
  <c r="M90" i="1"/>
  <c r="L90" i="1"/>
  <c r="K90" i="1"/>
  <c r="X89" i="1"/>
  <c r="U89" i="1"/>
  <c r="T89" i="1"/>
  <c r="S89" i="1"/>
  <c r="R89" i="1"/>
  <c r="Q89" i="1"/>
  <c r="P89" i="1"/>
  <c r="O89" i="1"/>
  <c r="N89" i="1"/>
  <c r="M89" i="1"/>
  <c r="L89" i="1"/>
  <c r="K89" i="1"/>
  <c r="X88" i="1"/>
  <c r="U88" i="1"/>
  <c r="T88" i="1"/>
  <c r="S88" i="1"/>
  <c r="R88" i="1"/>
  <c r="Q88" i="1"/>
  <c r="P88" i="1"/>
  <c r="O88" i="1"/>
  <c r="N88" i="1"/>
  <c r="M88" i="1"/>
  <c r="L88" i="1"/>
  <c r="K88" i="1"/>
  <c r="X87" i="1"/>
  <c r="U87" i="1"/>
  <c r="T87" i="1"/>
  <c r="S87" i="1"/>
  <c r="R87" i="1"/>
  <c r="Q87" i="1"/>
  <c r="P87" i="1"/>
  <c r="O87" i="1"/>
  <c r="N87" i="1"/>
  <c r="M87" i="1"/>
  <c r="L87" i="1"/>
  <c r="K87" i="1"/>
  <c r="X86" i="1"/>
  <c r="U86" i="1"/>
  <c r="T86" i="1"/>
  <c r="S86" i="1"/>
  <c r="R86" i="1"/>
  <c r="Q86" i="1"/>
  <c r="P86" i="1"/>
  <c r="O86" i="1"/>
  <c r="N86" i="1"/>
  <c r="M86" i="1"/>
  <c r="L86" i="1"/>
  <c r="K86" i="1"/>
  <c r="X85" i="1"/>
  <c r="U85" i="1"/>
  <c r="T85" i="1"/>
  <c r="S85" i="1"/>
  <c r="R85" i="1"/>
  <c r="Q85" i="1"/>
  <c r="P85" i="1"/>
  <c r="O85" i="1"/>
  <c r="N85" i="1"/>
  <c r="M85" i="1"/>
  <c r="L85" i="1"/>
  <c r="K85" i="1"/>
  <c r="X84" i="1"/>
  <c r="U84" i="1"/>
  <c r="T84" i="1"/>
  <c r="S84" i="1"/>
  <c r="R84" i="1"/>
  <c r="Q84" i="1"/>
  <c r="P84" i="1"/>
  <c r="O84" i="1"/>
  <c r="N84" i="1"/>
  <c r="M84" i="1"/>
  <c r="L84" i="1"/>
  <c r="K84" i="1"/>
  <c r="X83" i="1"/>
  <c r="U83" i="1"/>
  <c r="T83" i="1"/>
  <c r="S83" i="1"/>
  <c r="R83" i="1"/>
  <c r="Q83" i="1"/>
  <c r="P83" i="1"/>
  <c r="O83" i="1"/>
  <c r="N83" i="1"/>
  <c r="M83" i="1"/>
  <c r="L83" i="1"/>
  <c r="K83" i="1"/>
  <c r="X82" i="1"/>
  <c r="U82" i="1"/>
  <c r="T82" i="1"/>
  <c r="S82" i="1"/>
  <c r="R82" i="1"/>
  <c r="Q82" i="1"/>
  <c r="P82" i="1"/>
  <c r="O82" i="1"/>
  <c r="N82" i="1"/>
  <c r="M82" i="1"/>
  <c r="L82" i="1"/>
  <c r="K82" i="1"/>
  <c r="X81" i="1"/>
  <c r="U81" i="1"/>
  <c r="T81" i="1"/>
  <c r="S81" i="1"/>
  <c r="R81" i="1"/>
  <c r="Q81" i="1"/>
  <c r="P81" i="1"/>
  <c r="O81" i="1"/>
  <c r="N81" i="1"/>
  <c r="M81" i="1"/>
  <c r="L81" i="1"/>
  <c r="K81" i="1"/>
  <c r="X80" i="1"/>
  <c r="U80" i="1"/>
  <c r="T80" i="1"/>
  <c r="S80" i="1"/>
  <c r="R80" i="1"/>
  <c r="Q80" i="1"/>
  <c r="P80" i="1"/>
  <c r="O80" i="1"/>
  <c r="N80" i="1"/>
  <c r="M80" i="1"/>
  <c r="L80" i="1"/>
  <c r="K80" i="1"/>
  <c r="X79" i="1"/>
  <c r="U79" i="1"/>
  <c r="T79" i="1"/>
  <c r="S79" i="1"/>
  <c r="R79" i="1"/>
  <c r="Q79" i="1"/>
  <c r="P79" i="1"/>
  <c r="O79" i="1"/>
  <c r="N79" i="1"/>
  <c r="M79" i="1"/>
  <c r="L79" i="1"/>
  <c r="K79" i="1"/>
  <c r="X78" i="1"/>
  <c r="U78" i="1"/>
  <c r="T78" i="1"/>
  <c r="S78" i="1"/>
  <c r="R78" i="1"/>
  <c r="Q78" i="1"/>
  <c r="P78" i="1"/>
  <c r="O78" i="1"/>
  <c r="N78" i="1"/>
  <c r="M78" i="1"/>
  <c r="L78" i="1"/>
  <c r="K78" i="1"/>
  <c r="X77" i="1"/>
  <c r="U77" i="1"/>
  <c r="T77" i="1"/>
  <c r="S77" i="1"/>
  <c r="R77" i="1"/>
  <c r="Q77" i="1"/>
  <c r="P77" i="1"/>
  <c r="O77" i="1"/>
  <c r="N77" i="1"/>
  <c r="M77" i="1"/>
  <c r="L77" i="1"/>
  <c r="K77" i="1"/>
  <c r="X76" i="1"/>
  <c r="U76" i="1"/>
  <c r="T76" i="1"/>
  <c r="S76" i="1"/>
  <c r="R76" i="1"/>
  <c r="Q76" i="1"/>
  <c r="P76" i="1"/>
  <c r="O76" i="1"/>
  <c r="N76" i="1"/>
  <c r="M76" i="1"/>
  <c r="L76" i="1"/>
  <c r="K76" i="1"/>
  <c r="X75" i="1"/>
  <c r="U75" i="1"/>
  <c r="T75" i="1"/>
  <c r="S75" i="1"/>
  <c r="R75" i="1"/>
  <c r="Q75" i="1"/>
  <c r="P75" i="1"/>
  <c r="O75" i="1"/>
  <c r="N75" i="1"/>
  <c r="M75" i="1"/>
  <c r="L75" i="1"/>
  <c r="K75" i="1"/>
  <c r="X74" i="1"/>
  <c r="U74" i="1"/>
  <c r="T74" i="1"/>
  <c r="S74" i="1"/>
  <c r="R74" i="1"/>
  <c r="Q74" i="1"/>
  <c r="P74" i="1"/>
  <c r="O74" i="1"/>
  <c r="N74" i="1"/>
  <c r="M74" i="1"/>
  <c r="L74" i="1"/>
  <c r="K74" i="1"/>
  <c r="X73" i="1"/>
  <c r="U73" i="1"/>
  <c r="T73" i="1"/>
  <c r="S73" i="1"/>
  <c r="R73" i="1"/>
  <c r="Q73" i="1"/>
  <c r="P73" i="1"/>
  <c r="O73" i="1"/>
  <c r="N73" i="1"/>
  <c r="M73" i="1"/>
  <c r="L73" i="1"/>
  <c r="K73" i="1"/>
  <c r="X72" i="1"/>
  <c r="U72" i="1"/>
  <c r="T72" i="1"/>
  <c r="S72" i="1"/>
  <c r="R72" i="1"/>
  <c r="Q72" i="1"/>
  <c r="P72" i="1"/>
  <c r="O72" i="1"/>
  <c r="N72" i="1"/>
  <c r="M72" i="1"/>
  <c r="L72" i="1"/>
  <c r="K72" i="1"/>
  <c r="X71" i="1"/>
  <c r="U71" i="1"/>
  <c r="T71" i="1"/>
  <c r="S71" i="1"/>
  <c r="R71" i="1"/>
  <c r="Q71" i="1"/>
  <c r="P71" i="1"/>
  <c r="O71" i="1"/>
  <c r="N71" i="1"/>
  <c r="M71" i="1"/>
  <c r="L71" i="1"/>
  <c r="K71" i="1"/>
  <c r="X70" i="1"/>
  <c r="U70" i="1"/>
  <c r="T70" i="1"/>
  <c r="S70" i="1"/>
  <c r="R70" i="1"/>
  <c r="Q70" i="1"/>
  <c r="P70" i="1"/>
  <c r="O70" i="1"/>
  <c r="N70" i="1"/>
  <c r="M70" i="1"/>
  <c r="L70" i="1"/>
  <c r="K70" i="1"/>
  <c r="X69" i="1"/>
  <c r="U69" i="1"/>
  <c r="T69" i="1"/>
  <c r="S69" i="1"/>
  <c r="R69" i="1"/>
  <c r="Q69" i="1"/>
  <c r="P69" i="1"/>
  <c r="O69" i="1"/>
  <c r="N69" i="1"/>
  <c r="M69" i="1"/>
  <c r="L69" i="1"/>
  <c r="K69" i="1"/>
  <c r="X68" i="1"/>
  <c r="U68" i="1"/>
  <c r="T68" i="1"/>
  <c r="S68" i="1"/>
  <c r="R68" i="1"/>
  <c r="Q68" i="1"/>
  <c r="P68" i="1"/>
  <c r="O68" i="1"/>
  <c r="N68" i="1"/>
  <c r="M68" i="1"/>
  <c r="L68" i="1"/>
  <c r="K68" i="1"/>
  <c r="X67" i="1"/>
  <c r="U67" i="1"/>
  <c r="T67" i="1"/>
  <c r="S67" i="1"/>
  <c r="R67" i="1"/>
  <c r="Q67" i="1"/>
  <c r="P67" i="1"/>
  <c r="O67" i="1"/>
  <c r="N67" i="1"/>
  <c r="M67" i="1"/>
  <c r="L67" i="1"/>
  <c r="K67" i="1"/>
  <c r="X66" i="1"/>
  <c r="U66" i="1"/>
  <c r="T66" i="1"/>
  <c r="S66" i="1"/>
  <c r="R66" i="1"/>
  <c r="Q66" i="1"/>
  <c r="P66" i="1"/>
  <c r="O66" i="1"/>
  <c r="N66" i="1"/>
  <c r="M66" i="1"/>
  <c r="L66" i="1"/>
  <c r="K66" i="1"/>
  <c r="X65" i="1"/>
  <c r="U65" i="1"/>
  <c r="T65" i="1"/>
  <c r="S65" i="1"/>
  <c r="R65" i="1"/>
  <c r="Q65" i="1"/>
  <c r="P65" i="1"/>
  <c r="O65" i="1"/>
  <c r="N65" i="1"/>
  <c r="M65" i="1"/>
  <c r="L65" i="1"/>
  <c r="K65" i="1"/>
  <c r="X64" i="1"/>
  <c r="U64" i="1"/>
  <c r="T64" i="1"/>
  <c r="S64" i="1"/>
  <c r="R64" i="1"/>
  <c r="Q64" i="1"/>
  <c r="P64" i="1"/>
  <c r="O64" i="1"/>
  <c r="N64" i="1"/>
  <c r="M64" i="1"/>
  <c r="L64" i="1"/>
  <c r="K64" i="1"/>
  <c r="X63" i="1"/>
  <c r="U63" i="1"/>
  <c r="T63" i="1"/>
  <c r="S63" i="1"/>
  <c r="R63" i="1"/>
  <c r="Q63" i="1"/>
  <c r="P63" i="1"/>
  <c r="O63" i="1"/>
  <c r="N63" i="1"/>
  <c r="M63" i="1"/>
  <c r="L63" i="1"/>
  <c r="K63" i="1"/>
  <c r="X62" i="1"/>
  <c r="U62" i="1"/>
  <c r="T62" i="1"/>
  <c r="S62" i="1"/>
  <c r="R62" i="1"/>
  <c r="Q62" i="1"/>
  <c r="P62" i="1"/>
  <c r="O62" i="1"/>
  <c r="N62" i="1"/>
  <c r="M62" i="1"/>
  <c r="L62" i="1"/>
  <c r="K62" i="1"/>
  <c r="X61" i="1"/>
  <c r="U61" i="1"/>
  <c r="T61" i="1"/>
  <c r="S61" i="1"/>
  <c r="R61" i="1"/>
  <c r="Q61" i="1"/>
  <c r="P61" i="1"/>
  <c r="O61" i="1"/>
  <c r="N61" i="1"/>
  <c r="M61" i="1"/>
  <c r="L61" i="1"/>
  <c r="K61" i="1"/>
  <c r="X60" i="1"/>
  <c r="U60" i="1"/>
  <c r="T60" i="1"/>
  <c r="S60" i="1"/>
  <c r="R60" i="1"/>
  <c r="Q60" i="1"/>
  <c r="P60" i="1"/>
  <c r="O60" i="1"/>
  <c r="N60" i="1"/>
  <c r="M60" i="1"/>
  <c r="L60" i="1"/>
  <c r="K60" i="1"/>
  <c r="X59" i="1"/>
  <c r="U59" i="1"/>
  <c r="T59" i="1"/>
  <c r="S59" i="1"/>
  <c r="R59" i="1"/>
  <c r="Q59" i="1"/>
  <c r="P59" i="1"/>
  <c r="O59" i="1"/>
  <c r="N59" i="1"/>
  <c r="M59" i="1"/>
  <c r="L59" i="1"/>
  <c r="K59" i="1"/>
  <c r="X58" i="1"/>
  <c r="U58" i="1"/>
  <c r="T58" i="1"/>
  <c r="S58" i="1"/>
  <c r="R58" i="1"/>
  <c r="Q58" i="1"/>
  <c r="P58" i="1"/>
  <c r="O58" i="1"/>
  <c r="N58" i="1"/>
  <c r="M58" i="1"/>
  <c r="L58" i="1"/>
  <c r="K58" i="1"/>
  <c r="X57" i="1"/>
  <c r="U57" i="1"/>
  <c r="T57" i="1"/>
  <c r="S57" i="1"/>
  <c r="R57" i="1"/>
  <c r="Q57" i="1"/>
  <c r="P57" i="1"/>
  <c r="O57" i="1"/>
  <c r="N57" i="1"/>
  <c r="M57" i="1"/>
  <c r="L57" i="1"/>
  <c r="K57" i="1"/>
  <c r="X56" i="1"/>
  <c r="U56" i="1"/>
  <c r="T56" i="1"/>
  <c r="S56" i="1"/>
  <c r="R56" i="1"/>
  <c r="Q56" i="1"/>
  <c r="P56" i="1"/>
  <c r="O56" i="1"/>
  <c r="N56" i="1"/>
  <c r="M56" i="1"/>
  <c r="L56" i="1"/>
  <c r="K56" i="1"/>
  <c r="X55" i="1"/>
  <c r="U55" i="1"/>
  <c r="T55" i="1"/>
  <c r="S55" i="1"/>
  <c r="R55" i="1"/>
  <c r="Q55" i="1"/>
  <c r="P55" i="1"/>
  <c r="O55" i="1"/>
  <c r="N55" i="1"/>
  <c r="M55" i="1"/>
  <c r="L55" i="1"/>
  <c r="K55" i="1"/>
  <c r="X54" i="1"/>
  <c r="U54" i="1"/>
  <c r="T54" i="1"/>
  <c r="S54" i="1"/>
  <c r="R54" i="1"/>
  <c r="Q54" i="1"/>
  <c r="P54" i="1"/>
  <c r="O54" i="1"/>
  <c r="N54" i="1"/>
  <c r="M54" i="1"/>
  <c r="L54" i="1"/>
  <c r="K54" i="1"/>
  <c r="X53" i="1"/>
  <c r="U53" i="1"/>
  <c r="T53" i="1"/>
  <c r="S53" i="1"/>
  <c r="R53" i="1"/>
  <c r="Q53" i="1"/>
  <c r="P53" i="1"/>
  <c r="O53" i="1"/>
  <c r="N53" i="1"/>
  <c r="M53" i="1"/>
  <c r="L53" i="1"/>
  <c r="K53" i="1"/>
  <c r="X52" i="1"/>
  <c r="U52" i="1"/>
  <c r="T52" i="1"/>
  <c r="S52" i="1"/>
  <c r="R52" i="1"/>
  <c r="Q52" i="1"/>
  <c r="P52" i="1"/>
  <c r="O52" i="1"/>
  <c r="N52" i="1"/>
  <c r="M52" i="1"/>
  <c r="L52" i="1"/>
  <c r="K52" i="1"/>
  <c r="X51" i="1"/>
  <c r="U51" i="1"/>
  <c r="T51" i="1"/>
  <c r="S51" i="1"/>
  <c r="R51" i="1"/>
  <c r="Q51" i="1"/>
  <c r="P51" i="1"/>
  <c r="O51" i="1"/>
  <c r="N51" i="1"/>
  <c r="M51" i="1"/>
  <c r="L51" i="1"/>
  <c r="K51" i="1"/>
  <c r="X50" i="1"/>
  <c r="U50" i="1"/>
  <c r="T50" i="1"/>
  <c r="S50" i="1"/>
  <c r="R50" i="1"/>
  <c r="Q50" i="1"/>
  <c r="P50" i="1"/>
  <c r="O50" i="1"/>
  <c r="N50" i="1"/>
  <c r="M50" i="1"/>
  <c r="L50" i="1"/>
  <c r="K50" i="1"/>
  <c r="X49" i="1"/>
  <c r="U49" i="1"/>
  <c r="T49" i="1"/>
  <c r="S49" i="1"/>
  <c r="R49" i="1"/>
  <c r="Q49" i="1"/>
  <c r="P49" i="1"/>
  <c r="O49" i="1"/>
  <c r="N49" i="1"/>
  <c r="M49" i="1"/>
  <c r="L49" i="1"/>
  <c r="K49" i="1"/>
  <c r="X48" i="1"/>
  <c r="U48" i="1"/>
  <c r="T48" i="1"/>
  <c r="S48" i="1"/>
  <c r="R48" i="1"/>
  <c r="Q48" i="1"/>
  <c r="P48" i="1"/>
  <c r="O48" i="1"/>
  <c r="N48" i="1"/>
  <c r="M48" i="1"/>
  <c r="L48" i="1"/>
  <c r="K48" i="1"/>
  <c r="X47" i="1"/>
  <c r="U47" i="1"/>
  <c r="T47" i="1"/>
  <c r="S47" i="1"/>
  <c r="R47" i="1"/>
  <c r="Q47" i="1"/>
  <c r="P47" i="1"/>
  <c r="O47" i="1"/>
  <c r="N47" i="1"/>
  <c r="M47" i="1"/>
  <c r="L47" i="1"/>
  <c r="K47" i="1"/>
  <c r="X46" i="1"/>
  <c r="U46" i="1"/>
  <c r="T46" i="1"/>
  <c r="S46" i="1"/>
  <c r="R46" i="1"/>
  <c r="Q46" i="1"/>
  <c r="P46" i="1"/>
  <c r="O46" i="1"/>
  <c r="N46" i="1"/>
  <c r="M46" i="1"/>
  <c r="L46" i="1"/>
  <c r="K46" i="1"/>
  <c r="X45" i="1"/>
  <c r="U45" i="1"/>
  <c r="T45" i="1"/>
  <c r="S45" i="1"/>
  <c r="R45" i="1"/>
  <c r="Q45" i="1"/>
  <c r="P45" i="1"/>
  <c r="O45" i="1"/>
  <c r="N45" i="1"/>
  <c r="M45" i="1"/>
  <c r="L45" i="1"/>
  <c r="K45" i="1"/>
  <c r="X44" i="1"/>
  <c r="U44" i="1"/>
  <c r="T44" i="1"/>
  <c r="S44" i="1"/>
  <c r="R44" i="1"/>
  <c r="Q44" i="1"/>
  <c r="P44" i="1"/>
  <c r="O44" i="1"/>
  <c r="N44" i="1"/>
  <c r="M44" i="1"/>
  <c r="L44" i="1"/>
  <c r="K44" i="1"/>
  <c r="X43" i="1"/>
  <c r="U43" i="1"/>
  <c r="T43" i="1"/>
  <c r="S43" i="1"/>
  <c r="R43" i="1"/>
  <c r="Q43" i="1"/>
  <c r="P43" i="1"/>
  <c r="O43" i="1"/>
  <c r="N43" i="1"/>
  <c r="M43" i="1"/>
  <c r="L43" i="1"/>
  <c r="K43" i="1"/>
  <c r="X42" i="1"/>
  <c r="U42" i="1"/>
  <c r="T42" i="1"/>
  <c r="S42" i="1"/>
  <c r="R42" i="1"/>
  <c r="Q42" i="1"/>
  <c r="P42" i="1"/>
  <c r="O42" i="1"/>
  <c r="N42" i="1"/>
  <c r="M42" i="1"/>
  <c r="L42" i="1"/>
  <c r="K42" i="1"/>
  <c r="X41" i="1"/>
  <c r="U41" i="1"/>
  <c r="T41" i="1"/>
  <c r="S41" i="1"/>
  <c r="R41" i="1"/>
  <c r="Q41" i="1"/>
  <c r="P41" i="1"/>
  <c r="O41" i="1"/>
  <c r="N41" i="1"/>
  <c r="M41" i="1"/>
  <c r="L41" i="1"/>
  <c r="K41" i="1"/>
  <c r="X40" i="1"/>
  <c r="U40" i="1"/>
  <c r="T40" i="1"/>
  <c r="S40" i="1"/>
  <c r="R40" i="1"/>
  <c r="Q40" i="1"/>
  <c r="P40" i="1"/>
  <c r="O40" i="1"/>
  <c r="N40" i="1"/>
  <c r="M40" i="1"/>
  <c r="L40" i="1"/>
  <c r="K40" i="1"/>
  <c r="X39" i="1"/>
  <c r="U39" i="1"/>
  <c r="T39" i="1"/>
  <c r="S39" i="1"/>
  <c r="R39" i="1"/>
  <c r="Q39" i="1"/>
  <c r="P39" i="1"/>
  <c r="O39" i="1"/>
  <c r="N39" i="1"/>
  <c r="M39" i="1"/>
  <c r="L39" i="1"/>
  <c r="K39" i="1"/>
  <c r="X38" i="1"/>
  <c r="U38" i="1"/>
  <c r="T38" i="1"/>
  <c r="S38" i="1"/>
  <c r="R38" i="1"/>
  <c r="Q38" i="1"/>
  <c r="P38" i="1"/>
  <c r="O38" i="1"/>
  <c r="N38" i="1"/>
  <c r="M38" i="1"/>
  <c r="L38" i="1"/>
  <c r="K38" i="1"/>
  <c r="X37" i="1"/>
  <c r="U37" i="1"/>
  <c r="T37" i="1"/>
  <c r="S37" i="1"/>
  <c r="R37" i="1"/>
  <c r="Q37" i="1"/>
  <c r="P37" i="1"/>
  <c r="O37" i="1"/>
  <c r="N37" i="1"/>
  <c r="M37" i="1"/>
  <c r="L37" i="1"/>
  <c r="K37" i="1"/>
  <c r="X36" i="1"/>
  <c r="U36" i="1"/>
  <c r="T36" i="1"/>
  <c r="S36" i="1"/>
  <c r="R36" i="1"/>
  <c r="Q36" i="1"/>
  <c r="P36" i="1"/>
  <c r="O36" i="1"/>
  <c r="N36" i="1"/>
  <c r="M36" i="1"/>
  <c r="L36" i="1"/>
  <c r="K36" i="1"/>
  <c r="X35" i="1"/>
  <c r="U35" i="1"/>
  <c r="T35" i="1"/>
  <c r="S35" i="1"/>
  <c r="R35" i="1"/>
  <c r="Q35" i="1"/>
  <c r="P35" i="1"/>
  <c r="O35" i="1"/>
  <c r="N35" i="1"/>
  <c r="M35" i="1"/>
  <c r="L35" i="1"/>
  <c r="K35" i="1"/>
  <c r="X34" i="1"/>
  <c r="U34" i="1"/>
  <c r="T34" i="1"/>
  <c r="S34" i="1"/>
  <c r="R34" i="1"/>
  <c r="Q34" i="1"/>
  <c r="P34" i="1"/>
  <c r="O34" i="1"/>
  <c r="N34" i="1"/>
  <c r="M34" i="1"/>
  <c r="L34" i="1"/>
  <c r="K34" i="1"/>
  <c r="X33" i="1"/>
  <c r="U33" i="1"/>
  <c r="T33" i="1"/>
  <c r="S33" i="1"/>
  <c r="R33" i="1"/>
  <c r="Q33" i="1"/>
  <c r="P33" i="1"/>
  <c r="O33" i="1"/>
  <c r="N33" i="1"/>
  <c r="M33" i="1"/>
  <c r="L33" i="1"/>
  <c r="K33" i="1"/>
  <c r="X32" i="1"/>
  <c r="U32" i="1"/>
  <c r="T32" i="1"/>
  <c r="S32" i="1"/>
  <c r="R32" i="1"/>
  <c r="Q32" i="1"/>
  <c r="P32" i="1"/>
  <c r="O32" i="1"/>
  <c r="N32" i="1"/>
  <c r="M32" i="1"/>
  <c r="L32" i="1"/>
  <c r="K32" i="1"/>
  <c r="X31" i="1"/>
  <c r="U31" i="1"/>
  <c r="T31" i="1"/>
  <c r="S31" i="1"/>
  <c r="R31" i="1"/>
  <c r="Q31" i="1"/>
  <c r="P31" i="1"/>
  <c r="O31" i="1"/>
  <c r="N31" i="1"/>
  <c r="M31" i="1"/>
  <c r="L31" i="1"/>
  <c r="K31" i="1"/>
  <c r="X30" i="1"/>
  <c r="U30" i="1"/>
  <c r="T30" i="1"/>
  <c r="S30" i="1"/>
  <c r="R30" i="1"/>
  <c r="Q30" i="1"/>
  <c r="P30" i="1"/>
  <c r="O30" i="1"/>
  <c r="N30" i="1"/>
  <c r="M30" i="1"/>
  <c r="L30" i="1"/>
  <c r="K30" i="1"/>
  <c r="X29" i="1"/>
  <c r="U29" i="1"/>
  <c r="T29" i="1"/>
  <c r="S29" i="1"/>
  <c r="R29" i="1"/>
  <c r="Q29" i="1"/>
  <c r="P29" i="1"/>
  <c r="O29" i="1"/>
  <c r="N29" i="1"/>
  <c r="M29" i="1"/>
  <c r="L29" i="1"/>
  <c r="K29" i="1"/>
  <c r="X28" i="1"/>
  <c r="U28" i="1"/>
  <c r="T28" i="1"/>
  <c r="S28" i="1"/>
  <c r="R28" i="1"/>
  <c r="Q28" i="1"/>
  <c r="P28" i="1"/>
  <c r="O28" i="1"/>
  <c r="N28" i="1"/>
  <c r="M28" i="1"/>
  <c r="L28" i="1"/>
  <c r="K28" i="1"/>
  <c r="X27" i="1"/>
  <c r="U27" i="1"/>
  <c r="T27" i="1"/>
  <c r="S27" i="1"/>
  <c r="R27" i="1"/>
  <c r="Q27" i="1"/>
  <c r="P27" i="1"/>
  <c r="O27" i="1"/>
  <c r="N27" i="1"/>
  <c r="M27" i="1"/>
  <c r="L27" i="1"/>
  <c r="K27" i="1"/>
  <c r="X26" i="1"/>
  <c r="U26" i="1"/>
  <c r="T26" i="1"/>
  <c r="S26" i="1"/>
  <c r="R26" i="1"/>
  <c r="Q26" i="1"/>
  <c r="P26" i="1"/>
  <c r="O26" i="1"/>
  <c r="N26" i="1"/>
  <c r="M26" i="1"/>
  <c r="L26" i="1"/>
  <c r="K26" i="1"/>
  <c r="X25" i="1"/>
  <c r="U25" i="1"/>
  <c r="T25" i="1"/>
  <c r="S25" i="1"/>
  <c r="R25" i="1"/>
  <c r="Q25" i="1"/>
  <c r="P25" i="1"/>
  <c r="O25" i="1"/>
  <c r="N25" i="1"/>
  <c r="M25" i="1"/>
  <c r="L25" i="1"/>
  <c r="K25" i="1"/>
  <c r="X24" i="1"/>
  <c r="U24" i="1"/>
  <c r="T24" i="1"/>
  <c r="S24" i="1"/>
  <c r="R24" i="1"/>
  <c r="Q24" i="1"/>
  <c r="P24" i="1"/>
  <c r="O24" i="1"/>
  <c r="N24" i="1"/>
  <c r="M24" i="1"/>
  <c r="L24" i="1"/>
  <c r="K24" i="1"/>
  <c r="X23" i="1"/>
  <c r="U23" i="1"/>
  <c r="T23" i="1"/>
  <c r="S23" i="1"/>
  <c r="R23" i="1"/>
  <c r="Q23" i="1"/>
  <c r="P23" i="1"/>
  <c r="O23" i="1"/>
  <c r="N23" i="1"/>
  <c r="M23" i="1"/>
  <c r="L23" i="1"/>
  <c r="K23" i="1"/>
  <c r="X22" i="1"/>
  <c r="U22" i="1"/>
  <c r="T22" i="1"/>
  <c r="S22" i="1"/>
  <c r="R22" i="1"/>
  <c r="Q22" i="1"/>
  <c r="P22" i="1"/>
  <c r="O22" i="1"/>
  <c r="N22" i="1"/>
  <c r="M22" i="1"/>
  <c r="L22" i="1"/>
  <c r="K22" i="1"/>
  <c r="X21" i="1"/>
  <c r="U21" i="1"/>
  <c r="T21" i="1"/>
  <c r="S21" i="1"/>
  <c r="R21" i="1"/>
  <c r="Q21" i="1"/>
  <c r="P21" i="1"/>
  <c r="O21" i="1"/>
  <c r="N21" i="1"/>
  <c r="M21" i="1"/>
  <c r="L21" i="1"/>
  <c r="K21" i="1"/>
  <c r="X20" i="1"/>
  <c r="U20" i="1"/>
  <c r="T20" i="1"/>
  <c r="S20" i="1"/>
  <c r="R20" i="1"/>
  <c r="Q20" i="1"/>
  <c r="P20" i="1"/>
  <c r="O20" i="1"/>
  <c r="N20" i="1"/>
  <c r="M20" i="1"/>
  <c r="L20" i="1"/>
  <c r="K20" i="1"/>
  <c r="X19" i="1"/>
  <c r="U19" i="1"/>
  <c r="T19" i="1"/>
  <c r="S19" i="1"/>
  <c r="R19" i="1"/>
  <c r="Q19" i="1"/>
  <c r="P19" i="1"/>
  <c r="O19" i="1"/>
  <c r="N19" i="1"/>
  <c r="M19" i="1"/>
  <c r="L19" i="1"/>
  <c r="K19" i="1"/>
  <c r="X18" i="1"/>
  <c r="U18" i="1"/>
  <c r="T18" i="1"/>
  <c r="S18" i="1"/>
  <c r="R18" i="1"/>
  <c r="Q18" i="1"/>
  <c r="P18" i="1"/>
  <c r="O18" i="1"/>
  <c r="N18" i="1"/>
  <c r="M18" i="1"/>
  <c r="L18" i="1"/>
  <c r="K18" i="1"/>
  <c r="X17" i="1"/>
  <c r="U17" i="1"/>
  <c r="T17" i="1"/>
  <c r="S17" i="1"/>
  <c r="R17" i="1"/>
  <c r="Q17" i="1"/>
  <c r="P17" i="1"/>
  <c r="O17" i="1"/>
  <c r="N17" i="1"/>
  <c r="M17" i="1"/>
  <c r="L17" i="1"/>
  <c r="K17" i="1"/>
  <c r="X16" i="1"/>
  <c r="U16" i="1"/>
  <c r="T16" i="1"/>
  <c r="S16" i="1"/>
  <c r="R16" i="1"/>
  <c r="Q16" i="1"/>
  <c r="P16" i="1"/>
  <c r="O16" i="1"/>
  <c r="N16" i="1"/>
  <c r="M16" i="1"/>
  <c r="L16" i="1"/>
  <c r="K16" i="1"/>
  <c r="X15" i="1"/>
  <c r="U15" i="1"/>
  <c r="T15" i="1"/>
  <c r="S15" i="1"/>
  <c r="R15" i="1"/>
  <c r="Q15" i="1"/>
  <c r="P15" i="1"/>
  <c r="O15" i="1"/>
  <c r="N15" i="1"/>
  <c r="M15" i="1"/>
  <c r="L15" i="1"/>
  <c r="K15" i="1"/>
  <c r="X14" i="1"/>
  <c r="U14" i="1"/>
  <c r="T14" i="1"/>
  <c r="S14" i="1"/>
  <c r="R14" i="1"/>
  <c r="Q14" i="1"/>
  <c r="P14" i="1"/>
  <c r="O14" i="1"/>
  <c r="N14" i="1"/>
  <c r="M14" i="1"/>
  <c r="L14" i="1"/>
  <c r="K14" i="1"/>
  <c r="X13" i="1"/>
  <c r="U13" i="1"/>
  <c r="T13" i="1"/>
  <c r="S13" i="1"/>
  <c r="R13" i="1"/>
  <c r="Q13" i="1"/>
  <c r="P13" i="1"/>
  <c r="O13" i="1"/>
  <c r="N13" i="1"/>
  <c r="M13" i="1"/>
  <c r="L13" i="1"/>
  <c r="K13" i="1"/>
  <c r="X12" i="1"/>
  <c r="U12" i="1"/>
  <c r="T12" i="1"/>
  <c r="S12" i="1"/>
  <c r="R12" i="1"/>
  <c r="Q12" i="1"/>
  <c r="P12" i="1"/>
  <c r="O12" i="1"/>
  <c r="N12" i="1"/>
  <c r="M12" i="1"/>
  <c r="L12" i="1"/>
  <c r="K12" i="1"/>
  <c r="X11" i="1"/>
  <c r="U11" i="1"/>
  <c r="T11" i="1"/>
  <c r="S11" i="1"/>
  <c r="R11" i="1"/>
  <c r="Q11" i="1"/>
  <c r="P11" i="1"/>
  <c r="O11" i="1"/>
  <c r="N11" i="1"/>
  <c r="M11" i="1"/>
  <c r="L11" i="1"/>
  <c r="K11" i="1"/>
  <c r="X10" i="1"/>
  <c r="U10" i="1"/>
  <c r="T10" i="1"/>
  <c r="S10" i="1"/>
  <c r="R10" i="1"/>
  <c r="Q10" i="1"/>
  <c r="P10" i="1"/>
  <c r="O10" i="1"/>
  <c r="N10" i="1"/>
  <c r="M10" i="1"/>
  <c r="L10" i="1"/>
  <c r="K10" i="1"/>
  <c r="X9" i="1"/>
  <c r="U9" i="1"/>
  <c r="T9" i="1"/>
  <c r="S9" i="1"/>
  <c r="R9" i="1"/>
  <c r="Q9" i="1"/>
  <c r="P9" i="1"/>
  <c r="O9" i="1"/>
  <c r="N9" i="1"/>
  <c r="M9" i="1"/>
  <c r="L9" i="1"/>
  <c r="K9" i="1"/>
  <c r="X8" i="1"/>
  <c r="U8" i="1"/>
  <c r="T8" i="1"/>
  <c r="S8" i="1"/>
  <c r="R8" i="1"/>
  <c r="Q8" i="1"/>
  <c r="P8" i="1"/>
  <c r="O8" i="1"/>
  <c r="N8" i="1"/>
  <c r="M8" i="1"/>
  <c r="L8" i="1"/>
  <c r="K8" i="1"/>
  <c r="X7" i="1"/>
  <c r="U7" i="1"/>
  <c r="T7" i="1"/>
  <c r="S7" i="1"/>
  <c r="R7" i="1"/>
  <c r="Q7" i="1"/>
  <c r="P7" i="1"/>
  <c r="O7" i="1"/>
  <c r="N7" i="1"/>
  <c r="M7" i="1"/>
  <c r="L7" i="1"/>
  <c r="K7" i="1"/>
  <c r="X6" i="1"/>
  <c r="U6" i="1"/>
  <c r="T6" i="1"/>
  <c r="S6" i="1"/>
  <c r="R6" i="1"/>
  <c r="Q6" i="1"/>
  <c r="P6" i="1"/>
  <c r="O6" i="1"/>
  <c r="N6" i="1"/>
  <c r="M6" i="1"/>
  <c r="L6" i="1"/>
  <c r="K6" i="1"/>
  <c r="X5" i="1"/>
  <c r="U5" i="1"/>
  <c r="T5" i="1"/>
  <c r="S5" i="1"/>
  <c r="R5" i="1"/>
  <c r="Q5" i="1"/>
  <c r="P5" i="1"/>
  <c r="O5" i="1"/>
  <c r="N5" i="1"/>
  <c r="M5" i="1"/>
  <c r="L5" i="1"/>
  <c r="K5" i="1"/>
  <c r="X4" i="1"/>
  <c r="U4" i="1"/>
  <c r="T4" i="1"/>
  <c r="S4" i="1"/>
  <c r="R4" i="1"/>
  <c r="Q4" i="1"/>
  <c r="P4" i="1"/>
  <c r="O4" i="1"/>
  <c r="N4" i="1"/>
  <c r="M4" i="1"/>
  <c r="L4" i="1"/>
  <c r="K4" i="1"/>
  <c r="X3" i="1"/>
  <c r="U3" i="1"/>
  <c r="T3" i="1"/>
  <c r="S3" i="1"/>
  <c r="R3" i="1"/>
  <c r="Q3" i="1"/>
  <c r="P3" i="1"/>
  <c r="O3" i="1"/>
  <c r="N3" i="1"/>
  <c r="M3" i="1"/>
  <c r="L3" i="1"/>
  <c r="K3" i="1"/>
  <c r="X2" i="1"/>
  <c r="U2" i="1"/>
  <c r="T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<sst xmlns="http://schemas.openxmlformats.org/spreadsheetml/2006/main" count="8427" uniqueCount="279">
  <si>
    <t>cBook</t>
  </si>
  <si>
    <t>iProjYear</t>
  </si>
  <si>
    <t>iProjNo</t>
  </si>
  <si>
    <t>cSegment</t>
  </si>
  <si>
    <t>cPackage</t>
  </si>
  <si>
    <t>cPeriod</t>
  </si>
  <si>
    <t>cElementCode</t>
  </si>
  <si>
    <t>TYP</t>
  </si>
  <si>
    <t>cType</t>
  </si>
  <si>
    <t>iWidth</t>
  </si>
  <si>
    <t>rMthBud</t>
  </si>
  <si>
    <t>rMthAct</t>
  </si>
  <si>
    <t>rYearBud</t>
  </si>
  <si>
    <t>rYearBTD</t>
  </si>
  <si>
    <t>rYearAct</t>
  </si>
  <si>
    <t>rYearFrc</t>
  </si>
  <si>
    <t>rPTDBud</t>
  </si>
  <si>
    <t>rPTDAct</t>
  </si>
  <si>
    <t>rOrgBud</t>
  </si>
  <si>
    <t>rRevBud</t>
  </si>
  <si>
    <t>rForecast</t>
  </si>
  <si>
    <t>rRateBud</t>
  </si>
  <si>
    <t>rRateFrc</t>
  </si>
  <si>
    <t>rVariance</t>
  </si>
  <si>
    <t>rVarianceChange</t>
  </si>
  <si>
    <t>rForecastChange</t>
  </si>
  <si>
    <t>rPercCompl</t>
  </si>
  <si>
    <t>cSubDesc2</t>
  </si>
  <si>
    <t>cSubDesc3</t>
  </si>
  <si>
    <t>lCommitted</t>
  </si>
  <si>
    <t>iCurrCode</t>
  </si>
  <si>
    <t>cClient</t>
  </si>
  <si>
    <t>cProjDesc</t>
  </si>
  <si>
    <t>cProjMgr</t>
  </si>
  <si>
    <t>cClientDesc</t>
  </si>
  <si>
    <t>cFirstFrcPeriod</t>
  </si>
  <si>
    <t>cCurrAbrv</t>
  </si>
  <si>
    <t>rCurrRate</t>
  </si>
  <si>
    <t>cCurrDesc</t>
  </si>
  <si>
    <t>cMajorDesc</t>
  </si>
  <si>
    <t>cAnnex</t>
  </si>
  <si>
    <t>cMainDesc</t>
  </si>
  <si>
    <t>cBookDesc</t>
  </si>
  <si>
    <t>DEF</t>
  </si>
  <si>
    <t xml:space="preserve">50 - Provisions                                                                                          </t>
  </si>
  <si>
    <t>F</t>
  </si>
  <si>
    <t>Provisions</t>
  </si>
  <si>
    <t>ARC POT</t>
  </si>
  <si>
    <t>NULL</t>
  </si>
  <si>
    <t>ABC</t>
  </si>
  <si>
    <t>N</t>
  </si>
  <si>
    <t>USD</t>
  </si>
  <si>
    <t xml:space="preserve">US DOLLAR                               </t>
  </si>
  <si>
    <t>Project Provisions</t>
  </si>
  <si>
    <t xml:space="preserve"> </t>
  </si>
  <si>
    <t>ETC</t>
  </si>
  <si>
    <t xml:space="preserve">01 - Resources &amp; Related Cost                                                                            </t>
  </si>
  <si>
    <t>Labour Costs</t>
  </si>
  <si>
    <t>Fabrication - Contract Works</t>
  </si>
  <si>
    <t>A</t>
  </si>
  <si>
    <t>Fabrication</t>
  </si>
  <si>
    <t>Plant, Machinery &amp; Vehicles Costs</t>
  </si>
  <si>
    <t>Consumable Costs</t>
  </si>
  <si>
    <t>Repair &amp; Maintenance Costs</t>
  </si>
  <si>
    <t>Depreciation Costs</t>
  </si>
  <si>
    <t>Salaries &amp; Related Costs</t>
  </si>
  <si>
    <t xml:space="preserve">05 - Painting                                                                                            </t>
  </si>
  <si>
    <t>Direct Labour</t>
  </si>
  <si>
    <t>D</t>
  </si>
  <si>
    <t>Indirect Labour</t>
  </si>
  <si>
    <t>Crane Operators</t>
  </si>
  <si>
    <t>Hired Labour</t>
  </si>
  <si>
    <t>Crane Costs</t>
  </si>
  <si>
    <t>Other Equipment Costs</t>
  </si>
  <si>
    <t>Painting Equipment</t>
  </si>
  <si>
    <t>General Consumable</t>
  </si>
  <si>
    <t>Supervision Cost</t>
  </si>
  <si>
    <t xml:space="preserve">09 - Job Instruction                                                                                     </t>
  </si>
  <si>
    <t>H</t>
  </si>
  <si>
    <t>16 - Preservation&amp;Protection</t>
  </si>
  <si>
    <t>Project Subcontractor Costs</t>
  </si>
  <si>
    <t xml:space="preserve">30 - Subcontractor Costs                                                                                 </t>
  </si>
  <si>
    <t>Hired Personnel</t>
  </si>
  <si>
    <t>Hired Equipment</t>
  </si>
  <si>
    <t>Transport,Towing&amp;Material Handling</t>
  </si>
  <si>
    <t>Third Party Certification</t>
  </si>
  <si>
    <t>Field Joint Coating</t>
  </si>
  <si>
    <t>Post Weld Heat Treatment</t>
  </si>
  <si>
    <t>Galvanizing</t>
  </si>
  <si>
    <t>Training Of Personnel</t>
  </si>
  <si>
    <t>Consulting &amp; Studies</t>
  </si>
  <si>
    <t>Unit Rate - Subcontractors Costs</t>
  </si>
  <si>
    <t>N.D.T</t>
  </si>
  <si>
    <t>Pipelay - Contract Works</t>
  </si>
  <si>
    <t>Pipelay</t>
  </si>
  <si>
    <t xml:space="preserve">03 - NOD Base Costs                                                                                      </t>
  </si>
  <si>
    <t>B</t>
  </si>
  <si>
    <t xml:space="preserve">07 - Survey Cost                                                                                         </t>
  </si>
  <si>
    <t>Survey Equipment</t>
  </si>
  <si>
    <t>Survey Cost</t>
  </si>
  <si>
    <t>Safeen Survey ( Hired Personnel )</t>
  </si>
  <si>
    <t>Safeen Survey (Hired Equipment)</t>
  </si>
  <si>
    <t xml:space="preserve">08 - Mob/Demob                                                                                           </t>
  </si>
  <si>
    <t>G</t>
  </si>
  <si>
    <t xml:space="preserve">15 - DIVING COST                                                                                         </t>
  </si>
  <si>
    <t>Diving Equipment</t>
  </si>
  <si>
    <t>Diving Cost</t>
  </si>
  <si>
    <t>Safeen Survey (Hired Vessels)</t>
  </si>
  <si>
    <t>Safeen Diving (Hired Personnel)</t>
  </si>
  <si>
    <t>Safeen Diving (Hired equipment)</t>
  </si>
  <si>
    <t>Soil Investigation</t>
  </si>
  <si>
    <t>Hot Tapping Works</t>
  </si>
  <si>
    <t>Clearing Charges</t>
  </si>
  <si>
    <t>Weather Forecast</t>
  </si>
  <si>
    <t>Chartered Support Vessels Costs</t>
  </si>
  <si>
    <t>Tow Tug</t>
  </si>
  <si>
    <t>Anchor Handling Tug</t>
  </si>
  <si>
    <t>Supply Boat</t>
  </si>
  <si>
    <t>Work Boat</t>
  </si>
  <si>
    <t>Cargo Barge</t>
  </si>
  <si>
    <t>NPCC Hired Barges - KSA</t>
  </si>
  <si>
    <t>Camp Accommodation &amp; Catering</t>
  </si>
  <si>
    <t>Project Provision Costs</t>
  </si>
  <si>
    <t>Provision - Operational Contingency</t>
  </si>
  <si>
    <t>Pipelay - Variation Works</t>
  </si>
  <si>
    <t xml:space="preserve">20 - Project Material Costs                                                                              </t>
  </si>
  <si>
    <t>Contruction Material Costs</t>
  </si>
  <si>
    <t>Structural - Permanent</t>
  </si>
  <si>
    <t>Material Procurement - Contract Works</t>
  </si>
  <si>
    <t>M</t>
  </si>
  <si>
    <t>Material Procurement</t>
  </si>
  <si>
    <t>Pipelines, Riser J Tube</t>
  </si>
  <si>
    <t>Painting  Material Costs</t>
  </si>
  <si>
    <t>Paint</t>
  </si>
  <si>
    <t>Garnet</t>
  </si>
  <si>
    <t>Steel Shot</t>
  </si>
  <si>
    <t>Electrical &amp; Instrumentation Material Costs</t>
  </si>
  <si>
    <t>Instruments</t>
  </si>
  <si>
    <t>Miscellaneous Material Costs</t>
  </si>
  <si>
    <t>Grouting</t>
  </si>
  <si>
    <t>Hydrotesting</t>
  </si>
  <si>
    <t>Cement</t>
  </si>
  <si>
    <t>Onshore Miscellaneous Material</t>
  </si>
  <si>
    <t>Offshore Miscellaneous Material</t>
  </si>
  <si>
    <t>Installation Aids Material</t>
  </si>
  <si>
    <t>Other Project Material Costs</t>
  </si>
  <si>
    <t>Inspection &amp; Expediting</t>
  </si>
  <si>
    <t>Handling, Clearing &amp; Transportation</t>
  </si>
  <si>
    <t>Vendor Representative</t>
  </si>
  <si>
    <t>Custom Duty - Material Related</t>
  </si>
  <si>
    <t xml:space="preserve">06 - Engineering Costs                                                                                   </t>
  </si>
  <si>
    <t>Softwares &amp; IT Accessories</t>
  </si>
  <si>
    <t>Engineering-Contract Works</t>
  </si>
  <si>
    <t>E</t>
  </si>
  <si>
    <t>Engineering</t>
  </si>
  <si>
    <t>Engineering Cost - Engineers</t>
  </si>
  <si>
    <t>Engineering Cost - Draftsman</t>
  </si>
  <si>
    <t>Engineering Cost - Support Services</t>
  </si>
  <si>
    <t>Engineering Cost - Hired Engineers</t>
  </si>
  <si>
    <t>Engineering Works</t>
  </si>
  <si>
    <t xml:space="preserve">10 - Other project Direct Cost                                                                           </t>
  </si>
  <si>
    <t>Offshore Engineering Cost</t>
  </si>
  <si>
    <t>PMT &amp; Other Project Direct Costs-Contract Works</t>
  </si>
  <si>
    <t>I</t>
  </si>
  <si>
    <t>PMT &amp; Other Project Direct Costs</t>
  </si>
  <si>
    <t>Project Team Cost</t>
  </si>
  <si>
    <t>Field Engineers Cost</t>
  </si>
  <si>
    <t>Project Clerks Cost</t>
  </si>
  <si>
    <t>Quality Assurance Cost</t>
  </si>
  <si>
    <t>Safety Cost</t>
  </si>
  <si>
    <t>Project Control Section Cost</t>
  </si>
  <si>
    <t>Procurement Team Cost</t>
  </si>
  <si>
    <t>Medic Expense Cost</t>
  </si>
  <si>
    <t>Project administrative saleries &amp; wages</t>
  </si>
  <si>
    <t>Contract Administrators</t>
  </si>
  <si>
    <t>Document Controller</t>
  </si>
  <si>
    <t>Estimation Support Cost</t>
  </si>
  <si>
    <t>Administrative Expenses</t>
  </si>
  <si>
    <t>Medical Expenses</t>
  </si>
  <si>
    <t>Office Utilities &amp; Services</t>
  </si>
  <si>
    <t>Printing &amp; Stationery</t>
  </si>
  <si>
    <t>Telecommunication</t>
  </si>
  <si>
    <t>Visas</t>
  </si>
  <si>
    <t>Travelling</t>
  </si>
  <si>
    <t>Transportation</t>
  </si>
  <si>
    <t>Others</t>
  </si>
  <si>
    <t>Vehicle Services &amp; Fuel</t>
  </si>
  <si>
    <t>Promotional Expenses</t>
  </si>
  <si>
    <t>Representation &amp; Gifts</t>
  </si>
  <si>
    <t>Entertainment</t>
  </si>
  <si>
    <t>Income Related Costs</t>
  </si>
  <si>
    <t>Tax &amp; Audit Fees</t>
  </si>
  <si>
    <t>Finance Expenses</t>
  </si>
  <si>
    <t>Job Insurance</t>
  </si>
  <si>
    <t>Income Tax</t>
  </si>
  <si>
    <t>Other Project Costs</t>
  </si>
  <si>
    <t>Site Setup</t>
  </si>
  <si>
    <t>Welding Procedure</t>
  </si>
  <si>
    <t>Fixed Assets</t>
  </si>
  <si>
    <t>Facilities To Clients Costs</t>
  </si>
  <si>
    <t>Safety</t>
  </si>
  <si>
    <t>PMT &amp; other Costs - Outside Abu-Dhabi</t>
  </si>
  <si>
    <t>Saudi Internship Training Prog (Salaries)</t>
  </si>
  <si>
    <t>Survey ROV</t>
  </si>
  <si>
    <t>Diving Works</t>
  </si>
  <si>
    <t>Chemical Analysis</t>
  </si>
  <si>
    <t>F B E Coating</t>
  </si>
  <si>
    <t>Supply Of Sleepers</t>
  </si>
  <si>
    <t>Automatic Welding Equipment &amp; Personnel</t>
  </si>
  <si>
    <t>Pipeline Hydrotesting/Purging/Drying</t>
  </si>
  <si>
    <t>Grouting, Bagging$Span Correction</t>
  </si>
  <si>
    <t>Underwater Tie-Ins</t>
  </si>
  <si>
    <t>Dredging,Trenching,Backfilling &amp; Burial</t>
  </si>
  <si>
    <t>Survey</t>
  </si>
  <si>
    <t>Storage &amp; Warehousing</t>
  </si>
  <si>
    <t>Demolishing, Disposal of Pipelines, structures,etc</t>
  </si>
  <si>
    <t>Claim Cost</t>
  </si>
  <si>
    <t>General</t>
  </si>
  <si>
    <t>HVAC / Architectural Material Costs</t>
  </si>
  <si>
    <t>Switchgears/Transformers/UPS/Solar Power System</t>
  </si>
  <si>
    <t>Supply Of Mattresses &amp; Sleepers</t>
  </si>
  <si>
    <t>Authentication Fees</t>
  </si>
  <si>
    <t>Sponsorship Fees</t>
  </si>
  <si>
    <t>Custom Duty</t>
  </si>
  <si>
    <t>Other Labour</t>
  </si>
  <si>
    <t>PMT &amp; Other Project Direct Costs-Variation Works</t>
  </si>
  <si>
    <t>JANE DOE</t>
  </si>
  <si>
    <t>XYZ</t>
  </si>
  <si>
    <t xml:space="preserve">04 - Electrical &amp; Instrumentation                                                                        </t>
  </si>
  <si>
    <t>C</t>
  </si>
  <si>
    <t>Construction Team</t>
  </si>
  <si>
    <t xml:space="preserve">13 - Commissioning                                                                                       </t>
  </si>
  <si>
    <t>K</t>
  </si>
  <si>
    <t>Tools</t>
  </si>
  <si>
    <t>Helium Leak Testing</t>
  </si>
  <si>
    <t xml:space="preserve">14 - Fire Proofing Works                                                                                 </t>
  </si>
  <si>
    <t>L</t>
  </si>
  <si>
    <t>Neoprene Coating</t>
  </si>
  <si>
    <t>H V A C  Works</t>
  </si>
  <si>
    <t>Fabrication Works</t>
  </si>
  <si>
    <t>Machining works</t>
  </si>
  <si>
    <t>Insulation</t>
  </si>
  <si>
    <t>Chemical Cleaning</t>
  </si>
  <si>
    <t>Pipecoating - Contract Works</t>
  </si>
  <si>
    <t>PipeCoating</t>
  </si>
  <si>
    <t>Caliper Pigging</t>
  </si>
  <si>
    <t>Installation - Contract Works</t>
  </si>
  <si>
    <t>Installation</t>
  </si>
  <si>
    <t>Stress Relieving</t>
  </si>
  <si>
    <t>Piping (Exclud.Valves)-Permanent</t>
  </si>
  <si>
    <t>Valves(Includ. Actuators)-Permanent</t>
  </si>
  <si>
    <t>Equipment - Permanent</t>
  </si>
  <si>
    <t>Safety Material</t>
  </si>
  <si>
    <t>Concrete Coating Material Costs</t>
  </si>
  <si>
    <t>Wire Mesh</t>
  </si>
  <si>
    <t>Iron Ore</t>
  </si>
  <si>
    <t>Curing Compound</t>
  </si>
  <si>
    <t>FBE Coating Material Costs</t>
  </si>
  <si>
    <t>FBE</t>
  </si>
  <si>
    <t>Polyethylene</t>
  </si>
  <si>
    <t>Polypropylene</t>
  </si>
  <si>
    <t>Chromate</t>
  </si>
  <si>
    <t>Oakite</t>
  </si>
  <si>
    <t>Adhesive (PE)</t>
  </si>
  <si>
    <t>Adhesive (PP)</t>
  </si>
  <si>
    <t>Cables/C.Trays/Ladders&amp;Conduits</t>
  </si>
  <si>
    <t>DCS/SCADA/RTU/MTU/IPCS</t>
  </si>
  <si>
    <t>Control Panels</t>
  </si>
  <si>
    <t>F&amp;G System / ESD System/PUT</t>
  </si>
  <si>
    <t>Telecom Systems(PA/GA,CCTV,ETC.)</t>
  </si>
  <si>
    <t>Control Valves / Shutdowen Valves</t>
  </si>
  <si>
    <t>Tubing /Instrument Piping &amp; Fittings</t>
  </si>
  <si>
    <t>Miscellaneous E&amp;I  Material</t>
  </si>
  <si>
    <t>Fire Proofing</t>
  </si>
  <si>
    <t>Scaffolding</t>
  </si>
  <si>
    <t>Project Material - Accruals &amp; Provision</t>
  </si>
  <si>
    <t>Monthly Material Accruals</t>
  </si>
  <si>
    <t>Engineering Cost - Hired Support Services</t>
  </si>
  <si>
    <t>Security Passes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</si>
</sst>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659E-1BCB-4E13-8FEB-120B64334957}">
  <dimension ref="A1:AQ566"/>
  <sheetViews>
    <sheetView tabSelected="1" workbookViewId="0">
      <selection activeCell="C10" sqref="C10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>
        <v>2020</v>
      </c>
      <c r="C2">
        <v>299</v>
      </c>
      <c r="D2">
        <v>5010</v>
      </c>
      <c r="E2">
        <v>50</v>
      </c>
      <c r="F2">
        <v>202305</v>
      </c>
      <c r="G2">
        <v>5000502</v>
      </c>
      <c r="H2" t="s">
        <v>44</v>
      </c>
      <c r="I2" t="s">
        <v>45</v>
      </c>
      <c r="J2">
        <v>7</v>
      </c>
      <c r="K2">
        <f ca="1">RANDBETWEEN(0, 100)</f>
        <v>69</v>
      </c>
      <c r="L2">
        <f ca="1">RANDBETWEEN(-100, 100)</f>
        <v>-42</v>
      </c>
      <c r="M2">
        <f ca="1">RANDBETWEEN(-100, 500)</f>
        <v>320</v>
      </c>
      <c r="N2">
        <f ca="1">RANDBETWEEN(-100, 500)</f>
        <v>-16</v>
      </c>
      <c r="O2">
        <f t="shared" ref="O2:O65" ca="1" si="0">RANDBETWEEN(-100, 1000)</f>
        <v>761</v>
      </c>
      <c r="P2">
        <f ca="1">RANDBETWEEN(-500, 1500)</f>
        <v>1172</v>
      </c>
      <c r="Q2">
        <f ca="1">RANDBETWEEN(0,1200)</f>
        <v>988</v>
      </c>
      <c r="R2">
        <f ca="1">RANDBETWEEN(-100, 500)</f>
        <v>173</v>
      </c>
      <c r="S2">
        <f ca="1">RANDBETWEEN(-100, 15000)</f>
        <v>11444</v>
      </c>
      <c r="T2">
        <f ca="1">RANDBETWEEN(-100, 10000)</f>
        <v>2292</v>
      </c>
      <c r="U2">
        <f ca="1">RANDBETWEEN(-100, 1300)</f>
        <v>263</v>
      </c>
      <c r="V2">
        <v>0</v>
      </c>
      <c r="W2">
        <v>0</v>
      </c>
      <c r="X2">
        <f ca="1">RANDBETWEEN(-500, 100)</f>
        <v>-3</v>
      </c>
      <c r="Y2">
        <v>0</v>
      </c>
      <c r="Z2">
        <v>0</v>
      </c>
      <c r="AA2">
        <v>0</v>
      </c>
      <c r="AB2" t="s">
        <v>46</v>
      </c>
      <c r="AD2">
        <v>1</v>
      </c>
      <c r="AE2">
        <v>52</v>
      </c>
      <c r="AF2">
        <v>265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  <c r="AL2">
        <v>3.6726999999999999</v>
      </c>
      <c r="AM2" t="s">
        <v>52</v>
      </c>
      <c r="AN2" t="s">
        <v>53</v>
      </c>
      <c r="AO2" t="s">
        <v>54</v>
      </c>
      <c r="AP2" t="s">
        <v>48</v>
      </c>
      <c r="AQ2" t="s">
        <v>55</v>
      </c>
    </row>
    <row r="3" spans="1:43" x14ac:dyDescent="0.3">
      <c r="A3" t="s">
        <v>43</v>
      </c>
      <c r="B3">
        <v>2020</v>
      </c>
      <c r="C3">
        <v>299</v>
      </c>
      <c r="D3">
        <v>5111</v>
      </c>
      <c r="E3">
        <v>1</v>
      </c>
      <c r="F3">
        <v>202305</v>
      </c>
      <c r="G3">
        <v>1</v>
      </c>
      <c r="H3" t="s">
        <v>56</v>
      </c>
      <c r="I3" t="s">
        <v>45</v>
      </c>
      <c r="J3">
        <v>2</v>
      </c>
      <c r="K3">
        <f t="shared" ref="K3:K66" ca="1" si="1">RANDBETWEEN(0, 100)</f>
        <v>26</v>
      </c>
      <c r="L3">
        <f t="shared" ref="L3:L66" ca="1" si="2">RANDBETWEEN(-100, 100)</f>
        <v>91</v>
      </c>
      <c r="M3">
        <f t="shared" ref="M3:N66" ca="1" si="3">RANDBETWEEN(-100, 500)</f>
        <v>-59</v>
      </c>
      <c r="N3">
        <f t="shared" ca="1" si="3"/>
        <v>-95</v>
      </c>
      <c r="O3">
        <f t="shared" ca="1" si="0"/>
        <v>617</v>
      </c>
      <c r="P3">
        <f t="shared" ref="P3:P66" ca="1" si="4">RANDBETWEEN(-500, 1500)</f>
        <v>42</v>
      </c>
      <c r="Q3">
        <f t="shared" ref="Q3:Q66" ca="1" si="5">RANDBETWEEN(0,1200)</f>
        <v>915</v>
      </c>
      <c r="R3">
        <f t="shared" ref="R3:R66" ca="1" si="6">RANDBETWEEN(-100, 500)</f>
        <v>-23</v>
      </c>
      <c r="S3">
        <f t="shared" ref="S3:S66" ca="1" si="7">RANDBETWEEN(-100, 15000)</f>
        <v>3663</v>
      </c>
      <c r="T3">
        <f t="shared" ref="T3:T66" ca="1" si="8">RANDBETWEEN(-100, 10000)</f>
        <v>2524</v>
      </c>
      <c r="U3">
        <f t="shared" ref="U3:U66" ca="1" si="9">RANDBETWEEN(-100, 1300)</f>
        <v>829</v>
      </c>
      <c r="V3">
        <v>0</v>
      </c>
      <c r="W3">
        <v>0</v>
      </c>
      <c r="X3">
        <f t="shared" ref="X3:X66" ca="1" si="10">RANDBETWEEN(-500, 100)</f>
        <v>-234</v>
      </c>
      <c r="Y3">
        <v>0</v>
      </c>
      <c r="Z3">
        <v>0</v>
      </c>
      <c r="AA3">
        <v>99</v>
      </c>
      <c r="AB3" t="s">
        <v>57</v>
      </c>
      <c r="AD3">
        <v>1</v>
      </c>
      <c r="AE3">
        <v>52</v>
      </c>
      <c r="AF3">
        <v>265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>
        <v>3.6726999999999999</v>
      </c>
      <c r="AM3" t="s">
        <v>52</v>
      </c>
      <c r="AN3" t="s">
        <v>58</v>
      </c>
      <c r="AO3" t="s">
        <v>59</v>
      </c>
      <c r="AP3" t="s">
        <v>60</v>
      </c>
      <c r="AQ3" t="s">
        <v>55</v>
      </c>
    </row>
    <row r="4" spans="1:43" x14ac:dyDescent="0.3">
      <c r="A4" t="s">
        <v>43</v>
      </c>
      <c r="B4">
        <v>2020</v>
      </c>
      <c r="C4">
        <v>299</v>
      </c>
      <c r="D4">
        <v>5111</v>
      </c>
      <c r="E4">
        <v>1</v>
      </c>
      <c r="F4">
        <v>202305</v>
      </c>
      <c r="G4">
        <v>2</v>
      </c>
      <c r="H4" t="s">
        <v>56</v>
      </c>
      <c r="I4" t="s">
        <v>45</v>
      </c>
      <c r="J4">
        <v>2</v>
      </c>
      <c r="K4">
        <f t="shared" ca="1" si="1"/>
        <v>39</v>
      </c>
      <c r="L4">
        <f t="shared" ca="1" si="2"/>
        <v>64</v>
      </c>
      <c r="M4">
        <f t="shared" ca="1" si="3"/>
        <v>451</v>
      </c>
      <c r="N4">
        <f t="shared" ca="1" si="3"/>
        <v>-91</v>
      </c>
      <c r="O4">
        <f t="shared" ca="1" si="0"/>
        <v>129</v>
      </c>
      <c r="P4">
        <f t="shared" ca="1" si="4"/>
        <v>794</v>
      </c>
      <c r="Q4">
        <f t="shared" ca="1" si="5"/>
        <v>1001</v>
      </c>
      <c r="R4">
        <f t="shared" ca="1" si="6"/>
        <v>391</v>
      </c>
      <c r="S4">
        <f t="shared" ca="1" si="7"/>
        <v>3271</v>
      </c>
      <c r="T4">
        <f t="shared" ca="1" si="8"/>
        <v>3209</v>
      </c>
      <c r="U4">
        <f t="shared" ca="1" si="9"/>
        <v>970</v>
      </c>
      <c r="V4">
        <v>0</v>
      </c>
      <c r="W4">
        <v>0</v>
      </c>
      <c r="X4">
        <f t="shared" ca="1" si="10"/>
        <v>-223</v>
      </c>
      <c r="Y4">
        <v>0</v>
      </c>
      <c r="Z4">
        <v>0</v>
      </c>
      <c r="AA4">
        <v>100</v>
      </c>
      <c r="AB4" t="s">
        <v>61</v>
      </c>
      <c r="AD4">
        <v>1</v>
      </c>
      <c r="AE4">
        <v>52</v>
      </c>
      <c r="AF4">
        <v>265</v>
      </c>
      <c r="AG4" t="s">
        <v>47</v>
      </c>
      <c r="AH4" t="s">
        <v>48</v>
      </c>
      <c r="AI4" t="s">
        <v>49</v>
      </c>
      <c r="AJ4" t="s">
        <v>50</v>
      </c>
      <c r="AK4" t="s">
        <v>51</v>
      </c>
      <c r="AL4">
        <v>3.6726999999999999</v>
      </c>
      <c r="AM4" t="s">
        <v>52</v>
      </c>
      <c r="AN4" t="s">
        <v>58</v>
      </c>
      <c r="AO4" t="s">
        <v>59</v>
      </c>
      <c r="AP4" t="s">
        <v>60</v>
      </c>
      <c r="AQ4" t="s">
        <v>55</v>
      </c>
    </row>
    <row r="5" spans="1:43" x14ac:dyDescent="0.3">
      <c r="A5" t="s">
        <v>43</v>
      </c>
      <c r="B5">
        <v>2020</v>
      </c>
      <c r="C5">
        <v>299</v>
      </c>
      <c r="D5">
        <v>5111</v>
      </c>
      <c r="E5">
        <v>1</v>
      </c>
      <c r="F5">
        <v>202305</v>
      </c>
      <c r="G5">
        <v>3</v>
      </c>
      <c r="H5" t="s">
        <v>56</v>
      </c>
      <c r="I5" t="s">
        <v>45</v>
      </c>
      <c r="J5">
        <v>2</v>
      </c>
      <c r="K5">
        <f t="shared" ca="1" si="1"/>
        <v>24</v>
      </c>
      <c r="L5">
        <f t="shared" ca="1" si="2"/>
        <v>97</v>
      </c>
      <c r="M5">
        <f t="shared" ca="1" si="3"/>
        <v>135</v>
      </c>
      <c r="N5">
        <f t="shared" ca="1" si="3"/>
        <v>324</v>
      </c>
      <c r="O5">
        <f t="shared" ca="1" si="0"/>
        <v>508</v>
      </c>
      <c r="P5">
        <f t="shared" ca="1" si="4"/>
        <v>1180</v>
      </c>
      <c r="Q5">
        <f t="shared" ca="1" si="5"/>
        <v>12</v>
      </c>
      <c r="R5">
        <f t="shared" ca="1" si="6"/>
        <v>219</v>
      </c>
      <c r="S5">
        <f t="shared" ca="1" si="7"/>
        <v>767</v>
      </c>
      <c r="T5">
        <f t="shared" ca="1" si="8"/>
        <v>2169</v>
      </c>
      <c r="U5">
        <f t="shared" ca="1" si="9"/>
        <v>389</v>
      </c>
      <c r="V5">
        <v>0</v>
      </c>
      <c r="W5">
        <v>0</v>
      </c>
      <c r="X5">
        <f t="shared" ca="1" si="10"/>
        <v>-30</v>
      </c>
      <c r="Y5">
        <v>0</v>
      </c>
      <c r="Z5">
        <v>0</v>
      </c>
      <c r="AA5">
        <v>100</v>
      </c>
      <c r="AB5" t="s">
        <v>62</v>
      </c>
      <c r="AD5">
        <v>1</v>
      </c>
      <c r="AE5">
        <v>52</v>
      </c>
      <c r="AF5">
        <v>265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>
        <v>3.6726999999999999</v>
      </c>
      <c r="AM5" t="s">
        <v>52</v>
      </c>
      <c r="AN5" t="s">
        <v>58</v>
      </c>
      <c r="AO5" t="s">
        <v>59</v>
      </c>
      <c r="AP5" t="s">
        <v>60</v>
      </c>
      <c r="AQ5" t="s">
        <v>55</v>
      </c>
    </row>
    <row r="6" spans="1:43" x14ac:dyDescent="0.3">
      <c r="A6" t="s">
        <v>43</v>
      </c>
      <c r="B6">
        <v>2020</v>
      </c>
      <c r="C6">
        <v>299</v>
      </c>
      <c r="D6">
        <v>5111</v>
      </c>
      <c r="E6">
        <v>1</v>
      </c>
      <c r="F6">
        <v>202305</v>
      </c>
      <c r="G6">
        <v>4</v>
      </c>
      <c r="H6" t="s">
        <v>56</v>
      </c>
      <c r="I6" t="s">
        <v>45</v>
      </c>
      <c r="J6">
        <v>2</v>
      </c>
      <c r="K6">
        <f t="shared" ca="1" si="1"/>
        <v>0</v>
      </c>
      <c r="L6">
        <f t="shared" ca="1" si="2"/>
        <v>-29</v>
      </c>
      <c r="M6">
        <f t="shared" ca="1" si="3"/>
        <v>-63</v>
      </c>
      <c r="N6">
        <f t="shared" ca="1" si="3"/>
        <v>71</v>
      </c>
      <c r="O6">
        <f t="shared" ca="1" si="0"/>
        <v>23</v>
      </c>
      <c r="P6">
        <f t="shared" ca="1" si="4"/>
        <v>-241</v>
      </c>
      <c r="Q6">
        <f t="shared" ca="1" si="5"/>
        <v>4</v>
      </c>
      <c r="R6">
        <f t="shared" ca="1" si="6"/>
        <v>-14</v>
      </c>
      <c r="S6">
        <f t="shared" ca="1" si="7"/>
        <v>11984</v>
      </c>
      <c r="T6">
        <f t="shared" ca="1" si="8"/>
        <v>6734</v>
      </c>
      <c r="U6">
        <f t="shared" ca="1" si="9"/>
        <v>-77</v>
      </c>
      <c r="V6">
        <v>0</v>
      </c>
      <c r="W6">
        <v>0</v>
      </c>
      <c r="X6">
        <f t="shared" ca="1" si="10"/>
        <v>-276</v>
      </c>
      <c r="Y6">
        <v>0</v>
      </c>
      <c r="Z6">
        <v>0</v>
      </c>
      <c r="AA6">
        <v>82</v>
      </c>
      <c r="AB6" t="s">
        <v>63</v>
      </c>
      <c r="AD6">
        <v>1</v>
      </c>
      <c r="AE6">
        <v>52</v>
      </c>
      <c r="AF6">
        <v>265</v>
      </c>
      <c r="AG6" t="s">
        <v>47</v>
      </c>
      <c r="AH6" t="s">
        <v>48</v>
      </c>
      <c r="AI6" t="s">
        <v>49</v>
      </c>
      <c r="AJ6" t="s">
        <v>50</v>
      </c>
      <c r="AK6" t="s">
        <v>51</v>
      </c>
      <c r="AL6">
        <v>3.6726999999999999</v>
      </c>
      <c r="AM6" t="s">
        <v>52</v>
      </c>
      <c r="AN6" t="s">
        <v>58</v>
      </c>
      <c r="AO6" t="s">
        <v>59</v>
      </c>
      <c r="AP6" t="s">
        <v>60</v>
      </c>
      <c r="AQ6" t="s">
        <v>55</v>
      </c>
    </row>
    <row r="7" spans="1:43" x14ac:dyDescent="0.3">
      <c r="A7" t="s">
        <v>43</v>
      </c>
      <c r="B7">
        <v>2020</v>
      </c>
      <c r="C7">
        <v>299</v>
      </c>
      <c r="D7">
        <v>5111</v>
      </c>
      <c r="E7">
        <v>1</v>
      </c>
      <c r="F7">
        <v>202305</v>
      </c>
      <c r="G7">
        <v>5</v>
      </c>
      <c r="H7" t="s">
        <v>56</v>
      </c>
      <c r="I7" t="s">
        <v>45</v>
      </c>
      <c r="J7">
        <v>2</v>
      </c>
      <c r="K7">
        <f t="shared" ca="1" si="1"/>
        <v>18</v>
      </c>
      <c r="L7">
        <f t="shared" ca="1" si="2"/>
        <v>-91</v>
      </c>
      <c r="M7">
        <f t="shared" ca="1" si="3"/>
        <v>470</v>
      </c>
      <c r="N7">
        <f t="shared" ca="1" si="3"/>
        <v>487</v>
      </c>
      <c r="O7">
        <f t="shared" ca="1" si="0"/>
        <v>430</v>
      </c>
      <c r="P7">
        <f t="shared" ca="1" si="4"/>
        <v>-170</v>
      </c>
      <c r="Q7">
        <f t="shared" ca="1" si="5"/>
        <v>828</v>
      </c>
      <c r="R7">
        <f t="shared" ca="1" si="6"/>
        <v>98</v>
      </c>
      <c r="S7">
        <f t="shared" ca="1" si="7"/>
        <v>6672</v>
      </c>
      <c r="T7">
        <f t="shared" ca="1" si="8"/>
        <v>5699</v>
      </c>
      <c r="U7">
        <f t="shared" ca="1" si="9"/>
        <v>404</v>
      </c>
      <c r="V7">
        <v>0</v>
      </c>
      <c r="W7">
        <v>0</v>
      </c>
      <c r="X7">
        <f t="shared" ca="1" si="10"/>
        <v>-408</v>
      </c>
      <c r="Y7">
        <v>0</v>
      </c>
      <c r="Z7">
        <v>0</v>
      </c>
      <c r="AA7">
        <v>93</v>
      </c>
      <c r="AB7" t="s">
        <v>64</v>
      </c>
      <c r="AD7">
        <v>1</v>
      </c>
      <c r="AE7">
        <v>52</v>
      </c>
      <c r="AF7">
        <v>265</v>
      </c>
      <c r="AG7" t="s">
        <v>47</v>
      </c>
      <c r="AH7" t="s">
        <v>48</v>
      </c>
      <c r="AI7" t="s">
        <v>49</v>
      </c>
      <c r="AJ7" t="s">
        <v>50</v>
      </c>
      <c r="AK7" t="s">
        <v>51</v>
      </c>
      <c r="AL7">
        <v>3.6726999999999999</v>
      </c>
      <c r="AM7" t="s">
        <v>52</v>
      </c>
      <c r="AN7" t="s">
        <v>58</v>
      </c>
      <c r="AO7" t="s">
        <v>59</v>
      </c>
      <c r="AP7" t="s">
        <v>60</v>
      </c>
      <c r="AQ7" t="s">
        <v>55</v>
      </c>
    </row>
    <row r="8" spans="1:43" x14ac:dyDescent="0.3">
      <c r="A8" t="s">
        <v>43</v>
      </c>
      <c r="B8">
        <v>2020</v>
      </c>
      <c r="C8">
        <v>299</v>
      </c>
      <c r="D8">
        <v>5111</v>
      </c>
      <c r="E8">
        <v>1</v>
      </c>
      <c r="F8">
        <v>202305</v>
      </c>
      <c r="G8">
        <v>11</v>
      </c>
      <c r="H8" t="s">
        <v>56</v>
      </c>
      <c r="I8" t="s">
        <v>45</v>
      </c>
      <c r="J8">
        <v>2</v>
      </c>
      <c r="K8">
        <f t="shared" ca="1" si="1"/>
        <v>82</v>
      </c>
      <c r="L8">
        <f t="shared" ca="1" si="2"/>
        <v>-78</v>
      </c>
      <c r="M8">
        <f t="shared" ca="1" si="3"/>
        <v>204</v>
      </c>
      <c r="N8">
        <f t="shared" ca="1" si="3"/>
        <v>279</v>
      </c>
      <c r="O8">
        <f t="shared" ca="1" si="0"/>
        <v>480</v>
      </c>
      <c r="P8">
        <f t="shared" ca="1" si="4"/>
        <v>926</v>
      </c>
      <c r="Q8">
        <f t="shared" ca="1" si="5"/>
        <v>995</v>
      </c>
      <c r="R8">
        <f t="shared" ca="1" si="6"/>
        <v>406</v>
      </c>
      <c r="S8">
        <f t="shared" ca="1" si="7"/>
        <v>2098</v>
      </c>
      <c r="T8">
        <f t="shared" ca="1" si="8"/>
        <v>3268</v>
      </c>
      <c r="U8">
        <f t="shared" ca="1" si="9"/>
        <v>540</v>
      </c>
      <c r="V8">
        <v>0</v>
      </c>
      <c r="W8">
        <v>0</v>
      </c>
      <c r="X8">
        <f t="shared" ca="1" si="10"/>
        <v>-460</v>
      </c>
      <c r="Y8">
        <v>0</v>
      </c>
      <c r="Z8">
        <v>0</v>
      </c>
      <c r="AA8">
        <v>96</v>
      </c>
      <c r="AB8" t="s">
        <v>65</v>
      </c>
      <c r="AD8">
        <v>1</v>
      </c>
      <c r="AE8">
        <v>52</v>
      </c>
      <c r="AF8">
        <v>265</v>
      </c>
      <c r="AG8" t="s">
        <v>47</v>
      </c>
      <c r="AH8" t="s">
        <v>48</v>
      </c>
      <c r="AI8" t="s">
        <v>49</v>
      </c>
      <c r="AJ8" t="s">
        <v>50</v>
      </c>
      <c r="AK8" t="s">
        <v>51</v>
      </c>
      <c r="AL8">
        <v>3.6726999999999999</v>
      </c>
      <c r="AM8" t="s">
        <v>52</v>
      </c>
      <c r="AN8" t="s">
        <v>58</v>
      </c>
      <c r="AO8" t="s">
        <v>59</v>
      </c>
      <c r="AP8" t="s">
        <v>60</v>
      </c>
      <c r="AQ8" t="s">
        <v>55</v>
      </c>
    </row>
    <row r="9" spans="1:43" x14ac:dyDescent="0.3">
      <c r="A9" t="s">
        <v>43</v>
      </c>
      <c r="B9">
        <v>2020</v>
      </c>
      <c r="C9">
        <v>299</v>
      </c>
      <c r="D9">
        <v>5111</v>
      </c>
      <c r="E9">
        <v>5</v>
      </c>
      <c r="F9">
        <v>202305</v>
      </c>
      <c r="G9">
        <v>100001</v>
      </c>
      <c r="H9" t="s">
        <v>66</v>
      </c>
      <c r="I9" t="s">
        <v>45</v>
      </c>
      <c r="J9">
        <v>7</v>
      </c>
      <c r="K9">
        <f t="shared" ca="1" si="1"/>
        <v>61</v>
      </c>
      <c r="L9">
        <f t="shared" ca="1" si="2"/>
        <v>-1</v>
      </c>
      <c r="M9">
        <f t="shared" ca="1" si="3"/>
        <v>-27</v>
      </c>
      <c r="N9">
        <f t="shared" ca="1" si="3"/>
        <v>326</v>
      </c>
      <c r="O9">
        <f t="shared" ca="1" si="0"/>
        <v>231</v>
      </c>
      <c r="P9">
        <f t="shared" ca="1" si="4"/>
        <v>-366</v>
      </c>
      <c r="Q9">
        <f t="shared" ca="1" si="5"/>
        <v>539</v>
      </c>
      <c r="R9">
        <f t="shared" ca="1" si="6"/>
        <v>376</v>
      </c>
      <c r="S9">
        <f t="shared" ca="1" si="7"/>
        <v>14010</v>
      </c>
      <c r="T9">
        <f t="shared" ca="1" si="8"/>
        <v>3291</v>
      </c>
      <c r="U9">
        <f t="shared" ca="1" si="9"/>
        <v>854</v>
      </c>
      <c r="V9">
        <v>0</v>
      </c>
      <c r="W9">
        <v>0</v>
      </c>
      <c r="X9">
        <f t="shared" ca="1" si="10"/>
        <v>-480</v>
      </c>
      <c r="Y9">
        <v>0</v>
      </c>
      <c r="Z9">
        <v>0</v>
      </c>
      <c r="AA9">
        <v>98</v>
      </c>
      <c r="AB9" t="s">
        <v>57</v>
      </c>
      <c r="AC9" t="s">
        <v>67</v>
      </c>
      <c r="AD9">
        <v>1</v>
      </c>
      <c r="AE9">
        <v>52</v>
      </c>
      <c r="AF9">
        <v>265</v>
      </c>
      <c r="AG9" t="s">
        <v>47</v>
      </c>
      <c r="AH9" t="s">
        <v>48</v>
      </c>
      <c r="AI9" t="s">
        <v>49</v>
      </c>
      <c r="AJ9" t="s">
        <v>50</v>
      </c>
      <c r="AK9" t="s">
        <v>51</v>
      </c>
      <c r="AL9">
        <v>3.6726999999999999</v>
      </c>
      <c r="AM9" t="s">
        <v>52</v>
      </c>
      <c r="AN9" t="s">
        <v>58</v>
      </c>
      <c r="AO9" t="s">
        <v>68</v>
      </c>
      <c r="AP9" t="s">
        <v>60</v>
      </c>
      <c r="AQ9" t="s">
        <v>55</v>
      </c>
    </row>
    <row r="10" spans="1:43" x14ac:dyDescent="0.3">
      <c r="A10" t="s">
        <v>43</v>
      </c>
      <c r="B10">
        <v>2020</v>
      </c>
      <c r="C10">
        <v>299</v>
      </c>
      <c r="D10">
        <v>5111</v>
      </c>
      <c r="E10">
        <v>5</v>
      </c>
      <c r="F10">
        <v>202305</v>
      </c>
      <c r="G10">
        <v>100002</v>
      </c>
      <c r="H10" t="s">
        <v>66</v>
      </c>
      <c r="I10" t="s">
        <v>45</v>
      </c>
      <c r="J10">
        <v>7</v>
      </c>
      <c r="K10">
        <f t="shared" ca="1" si="1"/>
        <v>25</v>
      </c>
      <c r="L10">
        <f t="shared" ca="1" si="2"/>
        <v>-98</v>
      </c>
      <c r="M10">
        <f t="shared" ca="1" si="3"/>
        <v>196</v>
      </c>
      <c r="N10">
        <f t="shared" ca="1" si="3"/>
        <v>499</v>
      </c>
      <c r="O10">
        <f t="shared" ca="1" si="0"/>
        <v>39</v>
      </c>
      <c r="P10">
        <f t="shared" ca="1" si="4"/>
        <v>290</v>
      </c>
      <c r="Q10">
        <f t="shared" ca="1" si="5"/>
        <v>432</v>
      </c>
      <c r="R10">
        <f t="shared" ca="1" si="6"/>
        <v>40</v>
      </c>
      <c r="S10">
        <f t="shared" ca="1" si="7"/>
        <v>11590</v>
      </c>
      <c r="T10">
        <f t="shared" ca="1" si="8"/>
        <v>1507</v>
      </c>
      <c r="U10">
        <f t="shared" ca="1" si="9"/>
        <v>457</v>
      </c>
      <c r="V10">
        <v>0</v>
      </c>
      <c r="W10">
        <v>0</v>
      </c>
      <c r="X10">
        <f t="shared" ca="1" si="10"/>
        <v>-137</v>
      </c>
      <c r="Y10">
        <v>0</v>
      </c>
      <c r="Z10">
        <v>0</v>
      </c>
      <c r="AA10">
        <v>98</v>
      </c>
      <c r="AB10" t="s">
        <v>57</v>
      </c>
      <c r="AC10" t="s">
        <v>69</v>
      </c>
      <c r="AD10">
        <v>1</v>
      </c>
      <c r="AE10">
        <v>52</v>
      </c>
      <c r="AF10">
        <v>265</v>
      </c>
      <c r="AG10" t="s">
        <v>47</v>
      </c>
      <c r="AH10" t="s">
        <v>48</v>
      </c>
      <c r="AI10" t="s">
        <v>49</v>
      </c>
      <c r="AJ10" t="s">
        <v>50</v>
      </c>
      <c r="AK10" t="s">
        <v>51</v>
      </c>
      <c r="AL10">
        <v>3.6726999999999999</v>
      </c>
      <c r="AM10" t="s">
        <v>52</v>
      </c>
      <c r="AN10" t="s">
        <v>58</v>
      </c>
      <c r="AO10" t="s">
        <v>68</v>
      </c>
      <c r="AP10" t="s">
        <v>60</v>
      </c>
      <c r="AQ10" t="s">
        <v>55</v>
      </c>
    </row>
    <row r="11" spans="1:43" x14ac:dyDescent="0.3">
      <c r="A11" t="s">
        <v>43</v>
      </c>
      <c r="B11">
        <v>2020</v>
      </c>
      <c r="C11">
        <v>299</v>
      </c>
      <c r="D11">
        <v>5111</v>
      </c>
      <c r="E11">
        <v>5</v>
      </c>
      <c r="F11">
        <v>202305</v>
      </c>
      <c r="G11">
        <v>100004</v>
      </c>
      <c r="H11" t="s">
        <v>66</v>
      </c>
      <c r="I11" t="s">
        <v>45</v>
      </c>
      <c r="J11">
        <v>7</v>
      </c>
      <c r="K11">
        <f t="shared" ca="1" si="1"/>
        <v>96</v>
      </c>
      <c r="L11">
        <f t="shared" ca="1" si="2"/>
        <v>-30</v>
      </c>
      <c r="M11">
        <f t="shared" ca="1" si="3"/>
        <v>423</v>
      </c>
      <c r="N11">
        <f t="shared" ca="1" si="3"/>
        <v>-22</v>
      </c>
      <c r="O11">
        <f t="shared" ca="1" si="0"/>
        <v>594</v>
      </c>
      <c r="P11">
        <f t="shared" ca="1" si="4"/>
        <v>1369</v>
      </c>
      <c r="Q11">
        <f t="shared" ca="1" si="5"/>
        <v>176</v>
      </c>
      <c r="R11">
        <f t="shared" ca="1" si="6"/>
        <v>-62</v>
      </c>
      <c r="S11">
        <f t="shared" ca="1" si="7"/>
        <v>14068</v>
      </c>
      <c r="T11">
        <f t="shared" ca="1" si="8"/>
        <v>518</v>
      </c>
      <c r="U11">
        <f t="shared" ca="1" si="9"/>
        <v>285</v>
      </c>
      <c r="V11">
        <v>0</v>
      </c>
      <c r="W11">
        <v>0</v>
      </c>
      <c r="X11">
        <f t="shared" ca="1" si="10"/>
        <v>-497</v>
      </c>
      <c r="Y11">
        <v>0</v>
      </c>
      <c r="Z11">
        <v>0</v>
      </c>
      <c r="AA11">
        <v>100</v>
      </c>
      <c r="AB11" t="s">
        <v>57</v>
      </c>
      <c r="AC11" t="s">
        <v>70</v>
      </c>
      <c r="AD11">
        <v>1</v>
      </c>
      <c r="AE11">
        <v>52</v>
      </c>
      <c r="AF11">
        <v>265</v>
      </c>
      <c r="AG11" t="s">
        <v>47</v>
      </c>
      <c r="AH11" t="s">
        <v>48</v>
      </c>
      <c r="AI11" t="s">
        <v>49</v>
      </c>
      <c r="AJ11" t="s">
        <v>50</v>
      </c>
      <c r="AK11" t="s">
        <v>51</v>
      </c>
      <c r="AL11">
        <v>3.6726999999999999</v>
      </c>
      <c r="AM11" t="s">
        <v>52</v>
      </c>
      <c r="AN11" t="s">
        <v>58</v>
      </c>
      <c r="AO11" t="s">
        <v>68</v>
      </c>
      <c r="AP11" t="s">
        <v>60</v>
      </c>
      <c r="AQ11" t="s">
        <v>55</v>
      </c>
    </row>
    <row r="12" spans="1:43" x14ac:dyDescent="0.3">
      <c r="A12" t="s">
        <v>43</v>
      </c>
      <c r="B12">
        <v>2020</v>
      </c>
      <c r="C12">
        <v>299</v>
      </c>
      <c r="D12">
        <v>5111</v>
      </c>
      <c r="E12">
        <v>5</v>
      </c>
      <c r="F12">
        <v>202305</v>
      </c>
      <c r="G12">
        <v>100006</v>
      </c>
      <c r="H12" t="s">
        <v>66</v>
      </c>
      <c r="I12" t="s">
        <v>45</v>
      </c>
      <c r="J12">
        <v>7</v>
      </c>
      <c r="K12">
        <f t="shared" ca="1" si="1"/>
        <v>100</v>
      </c>
      <c r="L12">
        <f t="shared" ca="1" si="2"/>
        <v>-82</v>
      </c>
      <c r="M12">
        <f t="shared" ca="1" si="3"/>
        <v>184</v>
      </c>
      <c r="N12">
        <f t="shared" ca="1" si="3"/>
        <v>173</v>
      </c>
      <c r="O12">
        <f t="shared" ca="1" si="0"/>
        <v>112</v>
      </c>
      <c r="P12">
        <f t="shared" ca="1" si="4"/>
        <v>726</v>
      </c>
      <c r="Q12">
        <f t="shared" ca="1" si="5"/>
        <v>372</v>
      </c>
      <c r="R12">
        <f t="shared" ca="1" si="6"/>
        <v>194</v>
      </c>
      <c r="S12">
        <f t="shared" ca="1" si="7"/>
        <v>13971</v>
      </c>
      <c r="T12">
        <f t="shared" ca="1" si="8"/>
        <v>6373</v>
      </c>
      <c r="U12">
        <f t="shared" ca="1" si="9"/>
        <v>1225</v>
      </c>
      <c r="V12">
        <v>0</v>
      </c>
      <c r="W12">
        <v>0</v>
      </c>
      <c r="X12">
        <f t="shared" ca="1" si="10"/>
        <v>-59</v>
      </c>
      <c r="Y12">
        <v>0</v>
      </c>
      <c r="Z12">
        <v>0</v>
      </c>
      <c r="AA12">
        <v>100</v>
      </c>
      <c r="AB12" t="s">
        <v>57</v>
      </c>
      <c r="AC12" t="s">
        <v>71</v>
      </c>
      <c r="AD12">
        <v>1</v>
      </c>
      <c r="AE12">
        <v>52</v>
      </c>
      <c r="AF12">
        <v>265</v>
      </c>
      <c r="AG12" t="s">
        <v>47</v>
      </c>
      <c r="AH12" t="s">
        <v>48</v>
      </c>
      <c r="AI12" t="s">
        <v>49</v>
      </c>
      <c r="AJ12" t="s">
        <v>50</v>
      </c>
      <c r="AK12" t="s">
        <v>51</v>
      </c>
      <c r="AL12">
        <v>3.6726999999999999</v>
      </c>
      <c r="AM12" t="s">
        <v>52</v>
      </c>
      <c r="AN12" t="s">
        <v>58</v>
      </c>
      <c r="AO12" t="s">
        <v>68</v>
      </c>
      <c r="AP12" t="s">
        <v>60</v>
      </c>
      <c r="AQ12" t="s">
        <v>55</v>
      </c>
    </row>
    <row r="13" spans="1:43" x14ac:dyDescent="0.3">
      <c r="A13" t="s">
        <v>43</v>
      </c>
      <c r="B13">
        <v>2020</v>
      </c>
      <c r="C13">
        <v>299</v>
      </c>
      <c r="D13">
        <v>5111</v>
      </c>
      <c r="E13">
        <v>5</v>
      </c>
      <c r="F13">
        <v>202305</v>
      </c>
      <c r="G13">
        <v>200011</v>
      </c>
      <c r="H13" t="s">
        <v>66</v>
      </c>
      <c r="I13" t="s">
        <v>45</v>
      </c>
      <c r="J13">
        <v>7</v>
      </c>
      <c r="K13">
        <f t="shared" ca="1" si="1"/>
        <v>63</v>
      </c>
      <c r="L13">
        <f t="shared" ca="1" si="2"/>
        <v>-85</v>
      </c>
      <c r="M13">
        <f t="shared" ca="1" si="3"/>
        <v>-29</v>
      </c>
      <c r="N13">
        <f t="shared" ca="1" si="3"/>
        <v>347</v>
      </c>
      <c r="O13">
        <f t="shared" ca="1" si="0"/>
        <v>-71</v>
      </c>
      <c r="P13">
        <f t="shared" ca="1" si="4"/>
        <v>-450</v>
      </c>
      <c r="Q13">
        <f t="shared" ca="1" si="5"/>
        <v>850</v>
      </c>
      <c r="R13">
        <f t="shared" ca="1" si="6"/>
        <v>179</v>
      </c>
      <c r="S13">
        <f t="shared" ca="1" si="7"/>
        <v>11079</v>
      </c>
      <c r="T13">
        <f t="shared" ca="1" si="8"/>
        <v>3526</v>
      </c>
      <c r="U13">
        <f t="shared" ca="1" si="9"/>
        <v>1232</v>
      </c>
      <c r="V13">
        <v>0</v>
      </c>
      <c r="W13">
        <v>0</v>
      </c>
      <c r="X13">
        <f t="shared" ca="1" si="10"/>
        <v>42</v>
      </c>
      <c r="Y13">
        <v>0</v>
      </c>
      <c r="Z13">
        <v>0</v>
      </c>
      <c r="AA13">
        <v>100</v>
      </c>
      <c r="AB13" t="s">
        <v>61</v>
      </c>
      <c r="AC13" t="s">
        <v>72</v>
      </c>
      <c r="AD13">
        <v>1</v>
      </c>
      <c r="AE13">
        <v>52</v>
      </c>
      <c r="AF13">
        <v>265</v>
      </c>
      <c r="AG13" t="s">
        <v>47</v>
      </c>
      <c r="AH13" t="s">
        <v>48</v>
      </c>
      <c r="AI13" t="s">
        <v>49</v>
      </c>
      <c r="AJ13" t="s">
        <v>50</v>
      </c>
      <c r="AK13" t="s">
        <v>51</v>
      </c>
      <c r="AL13">
        <v>3.6726999999999999</v>
      </c>
      <c r="AM13" t="s">
        <v>52</v>
      </c>
      <c r="AN13" t="s">
        <v>58</v>
      </c>
      <c r="AO13" t="s">
        <v>68</v>
      </c>
      <c r="AP13" t="s">
        <v>60</v>
      </c>
      <c r="AQ13" t="s">
        <v>55</v>
      </c>
    </row>
    <row r="14" spans="1:43" x14ac:dyDescent="0.3">
      <c r="A14" t="s">
        <v>43</v>
      </c>
      <c r="B14">
        <v>2020</v>
      </c>
      <c r="C14">
        <v>299</v>
      </c>
      <c r="D14">
        <v>5111</v>
      </c>
      <c r="E14">
        <v>5</v>
      </c>
      <c r="F14">
        <v>202305</v>
      </c>
      <c r="G14">
        <v>200012</v>
      </c>
      <c r="H14" t="s">
        <v>66</v>
      </c>
      <c r="I14" t="s">
        <v>45</v>
      </c>
      <c r="J14">
        <v>7</v>
      </c>
      <c r="K14">
        <f t="shared" ca="1" si="1"/>
        <v>18</v>
      </c>
      <c r="L14">
        <f t="shared" ca="1" si="2"/>
        <v>89</v>
      </c>
      <c r="M14">
        <f t="shared" ca="1" si="3"/>
        <v>236</v>
      </c>
      <c r="N14">
        <f t="shared" ca="1" si="3"/>
        <v>408</v>
      </c>
      <c r="O14">
        <f t="shared" ca="1" si="0"/>
        <v>214</v>
      </c>
      <c r="P14">
        <f t="shared" ca="1" si="4"/>
        <v>-44</v>
      </c>
      <c r="Q14">
        <f t="shared" ca="1" si="5"/>
        <v>653</v>
      </c>
      <c r="R14">
        <f t="shared" ca="1" si="6"/>
        <v>158</v>
      </c>
      <c r="S14">
        <f t="shared" ca="1" si="7"/>
        <v>9237</v>
      </c>
      <c r="T14">
        <f t="shared" ca="1" si="8"/>
        <v>4377</v>
      </c>
      <c r="U14">
        <f t="shared" ca="1" si="9"/>
        <v>1070</v>
      </c>
      <c r="V14">
        <v>0</v>
      </c>
      <c r="W14">
        <v>0</v>
      </c>
      <c r="X14">
        <f t="shared" ca="1" si="10"/>
        <v>-380</v>
      </c>
      <c r="Y14">
        <v>0</v>
      </c>
      <c r="Z14">
        <v>0</v>
      </c>
      <c r="AA14">
        <v>30</v>
      </c>
      <c r="AB14" t="s">
        <v>61</v>
      </c>
      <c r="AC14" t="s">
        <v>73</v>
      </c>
      <c r="AD14">
        <v>1</v>
      </c>
      <c r="AE14">
        <v>52</v>
      </c>
      <c r="AF14">
        <v>265</v>
      </c>
      <c r="AG14" t="s">
        <v>47</v>
      </c>
      <c r="AH14" t="s">
        <v>48</v>
      </c>
      <c r="AI14" t="s">
        <v>49</v>
      </c>
      <c r="AJ14" t="s">
        <v>50</v>
      </c>
      <c r="AK14" t="s">
        <v>51</v>
      </c>
      <c r="AL14">
        <v>3.6726999999999999</v>
      </c>
      <c r="AM14" t="s">
        <v>52</v>
      </c>
      <c r="AN14" t="s">
        <v>58</v>
      </c>
      <c r="AO14" t="s">
        <v>68</v>
      </c>
      <c r="AP14" t="s">
        <v>60</v>
      </c>
      <c r="AQ14" t="s">
        <v>55</v>
      </c>
    </row>
    <row r="15" spans="1:43" x14ac:dyDescent="0.3">
      <c r="A15" t="s">
        <v>43</v>
      </c>
      <c r="B15">
        <v>2020</v>
      </c>
      <c r="C15">
        <v>299</v>
      </c>
      <c r="D15">
        <v>5111</v>
      </c>
      <c r="E15">
        <v>5</v>
      </c>
      <c r="F15">
        <v>202305</v>
      </c>
      <c r="G15">
        <v>200017</v>
      </c>
      <c r="H15" t="s">
        <v>66</v>
      </c>
      <c r="I15" t="s">
        <v>45</v>
      </c>
      <c r="J15">
        <v>7</v>
      </c>
      <c r="K15">
        <f t="shared" ca="1" si="1"/>
        <v>12</v>
      </c>
      <c r="L15">
        <f t="shared" ca="1" si="2"/>
        <v>-87</v>
      </c>
      <c r="M15">
        <f t="shared" ca="1" si="3"/>
        <v>98</v>
      </c>
      <c r="N15">
        <f t="shared" ca="1" si="3"/>
        <v>393</v>
      </c>
      <c r="O15">
        <f t="shared" ca="1" si="0"/>
        <v>977</v>
      </c>
      <c r="P15">
        <f t="shared" ca="1" si="4"/>
        <v>305</v>
      </c>
      <c r="Q15">
        <f t="shared" ca="1" si="5"/>
        <v>1101</v>
      </c>
      <c r="R15">
        <f t="shared" ca="1" si="6"/>
        <v>64</v>
      </c>
      <c r="S15">
        <f t="shared" ca="1" si="7"/>
        <v>5340</v>
      </c>
      <c r="T15">
        <f t="shared" ca="1" si="8"/>
        <v>8718</v>
      </c>
      <c r="U15">
        <f t="shared" ca="1" si="9"/>
        <v>1026</v>
      </c>
      <c r="V15">
        <v>0</v>
      </c>
      <c r="W15">
        <v>0</v>
      </c>
      <c r="X15">
        <f t="shared" ca="1" si="10"/>
        <v>-9</v>
      </c>
      <c r="Y15">
        <v>0</v>
      </c>
      <c r="Z15">
        <v>0</v>
      </c>
      <c r="AA15">
        <v>0</v>
      </c>
      <c r="AB15" t="s">
        <v>61</v>
      </c>
      <c r="AC15" t="s">
        <v>74</v>
      </c>
      <c r="AD15">
        <v>1</v>
      </c>
      <c r="AE15">
        <v>52</v>
      </c>
      <c r="AF15">
        <v>265</v>
      </c>
      <c r="AG15" t="s">
        <v>47</v>
      </c>
      <c r="AH15" t="s">
        <v>48</v>
      </c>
      <c r="AI15" t="s">
        <v>49</v>
      </c>
      <c r="AJ15" t="s">
        <v>50</v>
      </c>
      <c r="AK15" t="s">
        <v>51</v>
      </c>
      <c r="AL15">
        <v>3.6726999999999999</v>
      </c>
      <c r="AM15" t="s">
        <v>52</v>
      </c>
      <c r="AN15" t="s">
        <v>58</v>
      </c>
      <c r="AO15" t="s">
        <v>68</v>
      </c>
      <c r="AP15" t="s">
        <v>60</v>
      </c>
      <c r="AQ15" t="s">
        <v>55</v>
      </c>
    </row>
    <row r="16" spans="1:43" x14ac:dyDescent="0.3">
      <c r="A16" t="s">
        <v>43</v>
      </c>
      <c r="B16">
        <v>2020</v>
      </c>
      <c r="C16">
        <v>299</v>
      </c>
      <c r="D16">
        <v>5111</v>
      </c>
      <c r="E16">
        <v>5</v>
      </c>
      <c r="F16">
        <v>202305</v>
      </c>
      <c r="G16">
        <v>300021</v>
      </c>
      <c r="H16" t="s">
        <v>66</v>
      </c>
      <c r="I16" t="s">
        <v>45</v>
      </c>
      <c r="J16">
        <v>7</v>
      </c>
      <c r="K16">
        <f t="shared" ca="1" si="1"/>
        <v>15</v>
      </c>
      <c r="L16">
        <f t="shared" ca="1" si="2"/>
        <v>30</v>
      </c>
      <c r="M16">
        <f t="shared" ca="1" si="3"/>
        <v>422</v>
      </c>
      <c r="N16">
        <f t="shared" ca="1" si="3"/>
        <v>127</v>
      </c>
      <c r="O16">
        <f t="shared" ca="1" si="0"/>
        <v>685</v>
      </c>
      <c r="P16">
        <f t="shared" ca="1" si="4"/>
        <v>568</v>
      </c>
      <c r="Q16">
        <f t="shared" ca="1" si="5"/>
        <v>396</v>
      </c>
      <c r="R16">
        <f t="shared" ca="1" si="6"/>
        <v>269</v>
      </c>
      <c r="S16">
        <f t="shared" ca="1" si="7"/>
        <v>14287</v>
      </c>
      <c r="T16">
        <f t="shared" ca="1" si="8"/>
        <v>9823</v>
      </c>
      <c r="U16">
        <f t="shared" ca="1" si="9"/>
        <v>1036</v>
      </c>
      <c r="V16">
        <v>0</v>
      </c>
      <c r="W16">
        <v>0</v>
      </c>
      <c r="X16">
        <f t="shared" ca="1" si="10"/>
        <v>99</v>
      </c>
      <c r="Y16">
        <v>0</v>
      </c>
      <c r="Z16">
        <v>0</v>
      </c>
      <c r="AA16">
        <v>99</v>
      </c>
      <c r="AB16" t="s">
        <v>62</v>
      </c>
      <c r="AC16" t="s">
        <v>75</v>
      </c>
      <c r="AD16">
        <v>1</v>
      </c>
      <c r="AE16">
        <v>52</v>
      </c>
      <c r="AF16">
        <v>265</v>
      </c>
      <c r="AG16" t="s">
        <v>47</v>
      </c>
      <c r="AH16" t="s">
        <v>48</v>
      </c>
      <c r="AI16" t="s">
        <v>49</v>
      </c>
      <c r="AJ16" t="s">
        <v>50</v>
      </c>
      <c r="AK16" t="s">
        <v>51</v>
      </c>
      <c r="AL16">
        <v>3.6726999999999999</v>
      </c>
      <c r="AM16" t="s">
        <v>52</v>
      </c>
      <c r="AN16" t="s">
        <v>58</v>
      </c>
      <c r="AO16" t="s">
        <v>68</v>
      </c>
      <c r="AP16" t="s">
        <v>60</v>
      </c>
      <c r="AQ16" t="s">
        <v>55</v>
      </c>
    </row>
    <row r="17" spans="1:43" x14ac:dyDescent="0.3">
      <c r="A17" t="s">
        <v>43</v>
      </c>
      <c r="B17">
        <v>2020</v>
      </c>
      <c r="C17">
        <v>299</v>
      </c>
      <c r="D17">
        <v>5111</v>
      </c>
      <c r="E17">
        <v>5</v>
      </c>
      <c r="F17">
        <v>202305</v>
      </c>
      <c r="G17">
        <v>1100104</v>
      </c>
      <c r="H17" t="s">
        <v>66</v>
      </c>
      <c r="I17" t="s">
        <v>45</v>
      </c>
      <c r="J17">
        <v>7</v>
      </c>
      <c r="K17">
        <f t="shared" ca="1" si="1"/>
        <v>40</v>
      </c>
      <c r="L17">
        <f t="shared" ca="1" si="2"/>
        <v>40</v>
      </c>
      <c r="M17">
        <f t="shared" ca="1" si="3"/>
        <v>456</v>
      </c>
      <c r="N17">
        <f t="shared" ca="1" si="3"/>
        <v>24</v>
      </c>
      <c r="O17">
        <f t="shared" ca="1" si="0"/>
        <v>-58</v>
      </c>
      <c r="P17">
        <f t="shared" ca="1" si="4"/>
        <v>1209</v>
      </c>
      <c r="Q17">
        <f t="shared" ca="1" si="5"/>
        <v>910</v>
      </c>
      <c r="R17">
        <f t="shared" ca="1" si="6"/>
        <v>204</v>
      </c>
      <c r="S17">
        <f t="shared" ca="1" si="7"/>
        <v>4201</v>
      </c>
      <c r="T17">
        <f t="shared" ca="1" si="8"/>
        <v>4739</v>
      </c>
      <c r="U17">
        <f t="shared" ca="1" si="9"/>
        <v>469</v>
      </c>
      <c r="V17">
        <v>0</v>
      </c>
      <c r="W17">
        <v>0</v>
      </c>
      <c r="X17">
        <f t="shared" ca="1" si="10"/>
        <v>72</v>
      </c>
      <c r="Y17">
        <v>0</v>
      </c>
      <c r="Z17">
        <v>0</v>
      </c>
      <c r="AA17">
        <v>98</v>
      </c>
      <c r="AB17" t="s">
        <v>65</v>
      </c>
      <c r="AC17" t="s">
        <v>76</v>
      </c>
      <c r="AD17">
        <v>1</v>
      </c>
      <c r="AE17">
        <v>52</v>
      </c>
      <c r="AF17">
        <v>265</v>
      </c>
      <c r="AG17" t="s">
        <v>47</v>
      </c>
      <c r="AH17" t="s">
        <v>48</v>
      </c>
      <c r="AI17" t="s">
        <v>49</v>
      </c>
      <c r="AJ17" t="s">
        <v>50</v>
      </c>
      <c r="AK17" t="s">
        <v>51</v>
      </c>
      <c r="AL17">
        <v>3.6726999999999999</v>
      </c>
      <c r="AM17" t="s">
        <v>52</v>
      </c>
      <c r="AN17" t="s">
        <v>58</v>
      </c>
      <c r="AO17" t="s">
        <v>68</v>
      </c>
      <c r="AP17" t="s">
        <v>60</v>
      </c>
      <c r="AQ17" t="s">
        <v>55</v>
      </c>
    </row>
    <row r="18" spans="1:43" x14ac:dyDescent="0.3">
      <c r="A18" t="s">
        <v>43</v>
      </c>
      <c r="B18">
        <v>2020</v>
      </c>
      <c r="C18">
        <v>299</v>
      </c>
      <c r="D18">
        <v>5111</v>
      </c>
      <c r="E18">
        <v>9</v>
      </c>
      <c r="F18">
        <v>202305</v>
      </c>
      <c r="G18">
        <v>1</v>
      </c>
      <c r="H18" t="s">
        <v>77</v>
      </c>
      <c r="I18" t="s">
        <v>45</v>
      </c>
      <c r="J18">
        <v>2</v>
      </c>
      <c r="K18">
        <f t="shared" ca="1" si="1"/>
        <v>33</v>
      </c>
      <c r="L18">
        <f t="shared" ca="1" si="2"/>
        <v>69</v>
      </c>
      <c r="M18">
        <f t="shared" ca="1" si="3"/>
        <v>-54</v>
      </c>
      <c r="N18">
        <f t="shared" ca="1" si="3"/>
        <v>391</v>
      </c>
      <c r="O18">
        <f t="shared" ca="1" si="0"/>
        <v>262</v>
      </c>
      <c r="P18">
        <f t="shared" ca="1" si="4"/>
        <v>1022</v>
      </c>
      <c r="Q18">
        <f t="shared" ca="1" si="5"/>
        <v>12</v>
      </c>
      <c r="R18">
        <f t="shared" ca="1" si="6"/>
        <v>438</v>
      </c>
      <c r="S18">
        <f t="shared" ca="1" si="7"/>
        <v>14880</v>
      </c>
      <c r="T18">
        <f t="shared" ca="1" si="8"/>
        <v>6718</v>
      </c>
      <c r="U18">
        <f t="shared" ca="1" si="9"/>
        <v>1043</v>
      </c>
      <c r="V18">
        <v>0</v>
      </c>
      <c r="W18">
        <v>0</v>
      </c>
      <c r="X18">
        <f t="shared" ca="1" si="10"/>
        <v>-224</v>
      </c>
      <c r="Y18">
        <v>0</v>
      </c>
      <c r="Z18">
        <v>0</v>
      </c>
      <c r="AA18">
        <v>100</v>
      </c>
      <c r="AB18" t="s">
        <v>57</v>
      </c>
      <c r="AD18">
        <v>1</v>
      </c>
      <c r="AE18">
        <v>52</v>
      </c>
      <c r="AF18">
        <v>265</v>
      </c>
      <c r="AG18" t="s">
        <v>47</v>
      </c>
      <c r="AH18" t="s">
        <v>48</v>
      </c>
      <c r="AI18" t="s">
        <v>49</v>
      </c>
      <c r="AJ18" t="s">
        <v>50</v>
      </c>
      <c r="AK18" t="s">
        <v>51</v>
      </c>
      <c r="AL18">
        <v>3.6726999999999999</v>
      </c>
      <c r="AM18" t="s">
        <v>52</v>
      </c>
      <c r="AN18" t="s">
        <v>58</v>
      </c>
      <c r="AO18" t="s">
        <v>78</v>
      </c>
      <c r="AP18" t="s">
        <v>60</v>
      </c>
      <c r="AQ18" t="s">
        <v>55</v>
      </c>
    </row>
    <row r="19" spans="1:43" x14ac:dyDescent="0.3">
      <c r="A19" t="s">
        <v>43</v>
      </c>
      <c r="B19">
        <v>2020</v>
      </c>
      <c r="C19">
        <v>299</v>
      </c>
      <c r="D19">
        <v>5111</v>
      </c>
      <c r="E19">
        <v>16</v>
      </c>
      <c r="F19">
        <v>202305</v>
      </c>
      <c r="G19">
        <v>1</v>
      </c>
      <c r="H19" t="s">
        <v>79</v>
      </c>
      <c r="I19" t="s">
        <v>45</v>
      </c>
      <c r="J19">
        <v>2</v>
      </c>
      <c r="K19">
        <f t="shared" ca="1" si="1"/>
        <v>85</v>
      </c>
      <c r="L19">
        <f t="shared" ca="1" si="2"/>
        <v>16</v>
      </c>
      <c r="M19">
        <f t="shared" ca="1" si="3"/>
        <v>301</v>
      </c>
      <c r="N19">
        <f t="shared" ca="1" si="3"/>
        <v>28</v>
      </c>
      <c r="O19">
        <f t="shared" ca="1" si="0"/>
        <v>232</v>
      </c>
      <c r="P19">
        <f t="shared" ca="1" si="4"/>
        <v>283</v>
      </c>
      <c r="Q19">
        <f t="shared" ca="1" si="5"/>
        <v>406</v>
      </c>
      <c r="R19">
        <f t="shared" ca="1" si="6"/>
        <v>146</v>
      </c>
      <c r="S19">
        <f t="shared" ca="1" si="7"/>
        <v>3490</v>
      </c>
      <c r="T19">
        <f t="shared" ca="1" si="8"/>
        <v>5529</v>
      </c>
      <c r="U19">
        <f t="shared" ca="1" si="9"/>
        <v>624</v>
      </c>
      <c r="V19">
        <v>0</v>
      </c>
      <c r="W19">
        <v>0</v>
      </c>
      <c r="X19">
        <f t="shared" ca="1" si="10"/>
        <v>-350</v>
      </c>
      <c r="Y19">
        <v>0</v>
      </c>
      <c r="Z19">
        <v>0</v>
      </c>
      <c r="AA19">
        <v>100</v>
      </c>
      <c r="AB19" t="s">
        <v>57</v>
      </c>
      <c r="AD19">
        <v>1</v>
      </c>
      <c r="AE19">
        <v>52</v>
      </c>
      <c r="AF19">
        <v>265</v>
      </c>
      <c r="AG19" t="s">
        <v>47</v>
      </c>
      <c r="AH19" t="s">
        <v>48</v>
      </c>
      <c r="AI19" t="s">
        <v>49</v>
      </c>
      <c r="AJ19" t="s">
        <v>50</v>
      </c>
      <c r="AK19" t="s">
        <v>51</v>
      </c>
      <c r="AL19">
        <v>3.6726999999999999</v>
      </c>
      <c r="AM19" t="s">
        <v>52</v>
      </c>
      <c r="AN19" t="s">
        <v>58</v>
      </c>
      <c r="AO19" t="s">
        <v>59</v>
      </c>
      <c r="AP19" t="s">
        <v>60</v>
      </c>
      <c r="AQ19" t="s">
        <v>55</v>
      </c>
    </row>
    <row r="20" spans="1:43" x14ac:dyDescent="0.3">
      <c r="A20" t="s">
        <v>43</v>
      </c>
      <c r="B20">
        <v>2020</v>
      </c>
      <c r="C20">
        <v>299</v>
      </c>
      <c r="D20">
        <v>5111</v>
      </c>
      <c r="E20">
        <v>16</v>
      </c>
      <c r="F20">
        <v>202305</v>
      </c>
      <c r="G20">
        <v>3</v>
      </c>
      <c r="H20" t="s">
        <v>79</v>
      </c>
      <c r="I20" t="s">
        <v>45</v>
      </c>
      <c r="J20">
        <v>2</v>
      </c>
      <c r="K20">
        <f t="shared" ca="1" si="1"/>
        <v>36</v>
      </c>
      <c r="L20">
        <f t="shared" ca="1" si="2"/>
        <v>83</v>
      </c>
      <c r="M20">
        <f t="shared" ca="1" si="3"/>
        <v>-92</v>
      </c>
      <c r="N20">
        <f t="shared" ca="1" si="3"/>
        <v>491</v>
      </c>
      <c r="O20">
        <f t="shared" ca="1" si="0"/>
        <v>585</v>
      </c>
      <c r="P20">
        <f t="shared" ca="1" si="4"/>
        <v>1191</v>
      </c>
      <c r="Q20">
        <f t="shared" ca="1" si="5"/>
        <v>414</v>
      </c>
      <c r="R20">
        <f t="shared" ca="1" si="6"/>
        <v>143</v>
      </c>
      <c r="S20">
        <f t="shared" ca="1" si="7"/>
        <v>3084</v>
      </c>
      <c r="T20">
        <f t="shared" ca="1" si="8"/>
        <v>442</v>
      </c>
      <c r="U20">
        <f t="shared" ca="1" si="9"/>
        <v>1080</v>
      </c>
      <c r="V20">
        <v>0</v>
      </c>
      <c r="W20">
        <v>0</v>
      </c>
      <c r="X20">
        <f t="shared" ca="1" si="10"/>
        <v>-90</v>
      </c>
      <c r="Y20">
        <v>0</v>
      </c>
      <c r="Z20">
        <v>0</v>
      </c>
      <c r="AA20">
        <v>100</v>
      </c>
      <c r="AB20" t="s">
        <v>62</v>
      </c>
      <c r="AD20">
        <v>1</v>
      </c>
      <c r="AE20">
        <v>52</v>
      </c>
      <c r="AF20">
        <v>265</v>
      </c>
      <c r="AG20" t="s">
        <v>47</v>
      </c>
      <c r="AH20" t="s">
        <v>48</v>
      </c>
      <c r="AI20" t="s">
        <v>49</v>
      </c>
      <c r="AJ20" t="s">
        <v>50</v>
      </c>
      <c r="AK20" t="s">
        <v>51</v>
      </c>
      <c r="AL20">
        <v>3.6726999999999999</v>
      </c>
      <c r="AM20" t="s">
        <v>52</v>
      </c>
      <c r="AN20" t="s">
        <v>58</v>
      </c>
      <c r="AO20" t="s">
        <v>59</v>
      </c>
      <c r="AP20" t="s">
        <v>60</v>
      </c>
      <c r="AQ20" t="s">
        <v>55</v>
      </c>
    </row>
    <row r="21" spans="1:43" x14ac:dyDescent="0.3">
      <c r="A21" t="s">
        <v>43</v>
      </c>
      <c r="B21">
        <v>2020</v>
      </c>
      <c r="C21">
        <v>299</v>
      </c>
      <c r="D21">
        <v>5111</v>
      </c>
      <c r="E21">
        <v>16</v>
      </c>
      <c r="F21">
        <v>202305</v>
      </c>
      <c r="G21">
        <v>11</v>
      </c>
      <c r="H21" t="s">
        <v>79</v>
      </c>
      <c r="I21" t="s">
        <v>45</v>
      </c>
      <c r="J21">
        <v>2</v>
      </c>
      <c r="K21">
        <f t="shared" ca="1" si="1"/>
        <v>85</v>
      </c>
      <c r="L21">
        <f t="shared" ca="1" si="2"/>
        <v>-10</v>
      </c>
      <c r="M21">
        <f t="shared" ca="1" si="3"/>
        <v>355</v>
      </c>
      <c r="N21">
        <f t="shared" ca="1" si="3"/>
        <v>-40</v>
      </c>
      <c r="O21">
        <f t="shared" ca="1" si="0"/>
        <v>93</v>
      </c>
      <c r="P21">
        <f t="shared" ca="1" si="4"/>
        <v>-169</v>
      </c>
      <c r="Q21">
        <f t="shared" ca="1" si="5"/>
        <v>532</v>
      </c>
      <c r="R21">
        <f t="shared" ca="1" si="6"/>
        <v>274</v>
      </c>
      <c r="S21">
        <f t="shared" ca="1" si="7"/>
        <v>13464</v>
      </c>
      <c r="T21">
        <f t="shared" ca="1" si="8"/>
        <v>4615</v>
      </c>
      <c r="U21">
        <f t="shared" ca="1" si="9"/>
        <v>725</v>
      </c>
      <c r="V21">
        <v>0</v>
      </c>
      <c r="W21">
        <v>0</v>
      </c>
      <c r="X21">
        <f t="shared" ca="1" si="10"/>
        <v>51</v>
      </c>
      <c r="Y21">
        <v>0</v>
      </c>
      <c r="Z21">
        <v>0</v>
      </c>
      <c r="AA21">
        <v>100</v>
      </c>
      <c r="AB21" t="s">
        <v>65</v>
      </c>
      <c r="AD21">
        <v>1</v>
      </c>
      <c r="AE21">
        <v>52</v>
      </c>
      <c r="AF21">
        <v>265</v>
      </c>
      <c r="AG21" t="s">
        <v>47</v>
      </c>
      <c r="AH21" t="s">
        <v>48</v>
      </c>
      <c r="AI21" t="s">
        <v>49</v>
      </c>
      <c r="AJ21" t="s">
        <v>50</v>
      </c>
      <c r="AK21" t="s">
        <v>51</v>
      </c>
      <c r="AL21">
        <v>3.6726999999999999</v>
      </c>
      <c r="AM21" t="s">
        <v>52</v>
      </c>
      <c r="AN21" t="s">
        <v>58</v>
      </c>
      <c r="AO21" t="s">
        <v>59</v>
      </c>
      <c r="AP21" t="s">
        <v>60</v>
      </c>
      <c r="AQ21" t="s">
        <v>55</v>
      </c>
    </row>
    <row r="22" spans="1:43" x14ac:dyDescent="0.3">
      <c r="A22" t="s">
        <v>43</v>
      </c>
      <c r="B22">
        <v>2020</v>
      </c>
      <c r="C22">
        <v>299</v>
      </c>
      <c r="D22">
        <v>5111</v>
      </c>
      <c r="E22">
        <v>16</v>
      </c>
      <c r="F22">
        <v>202305</v>
      </c>
      <c r="G22">
        <v>31</v>
      </c>
      <c r="H22" t="s">
        <v>79</v>
      </c>
      <c r="I22" t="s">
        <v>45</v>
      </c>
      <c r="J22">
        <v>2</v>
      </c>
      <c r="K22">
        <f t="shared" ca="1" si="1"/>
        <v>38</v>
      </c>
      <c r="L22">
        <f t="shared" ca="1" si="2"/>
        <v>-44</v>
      </c>
      <c r="M22">
        <f t="shared" ca="1" si="3"/>
        <v>413</v>
      </c>
      <c r="N22">
        <f t="shared" ca="1" si="3"/>
        <v>490</v>
      </c>
      <c r="O22">
        <f t="shared" ca="1" si="0"/>
        <v>801</v>
      </c>
      <c r="P22">
        <f t="shared" ca="1" si="4"/>
        <v>-326</v>
      </c>
      <c r="Q22">
        <f t="shared" ca="1" si="5"/>
        <v>147</v>
      </c>
      <c r="R22">
        <f t="shared" ca="1" si="6"/>
        <v>120</v>
      </c>
      <c r="S22">
        <f t="shared" ca="1" si="7"/>
        <v>12642</v>
      </c>
      <c r="T22">
        <f t="shared" ca="1" si="8"/>
        <v>1426</v>
      </c>
      <c r="U22">
        <f t="shared" ca="1" si="9"/>
        <v>269</v>
      </c>
      <c r="V22">
        <v>0</v>
      </c>
      <c r="W22">
        <v>0</v>
      </c>
      <c r="X22">
        <f t="shared" ca="1" si="10"/>
        <v>-278</v>
      </c>
      <c r="Y22">
        <v>0</v>
      </c>
      <c r="Z22">
        <v>0</v>
      </c>
      <c r="AA22">
        <v>82</v>
      </c>
      <c r="AB22" t="s">
        <v>80</v>
      </c>
      <c r="AD22">
        <v>1</v>
      </c>
      <c r="AE22">
        <v>52</v>
      </c>
      <c r="AF22">
        <v>265</v>
      </c>
      <c r="AG22" t="s">
        <v>47</v>
      </c>
      <c r="AH22" t="s">
        <v>48</v>
      </c>
      <c r="AI22" t="s">
        <v>49</v>
      </c>
      <c r="AJ22" t="s">
        <v>50</v>
      </c>
      <c r="AK22" t="s">
        <v>51</v>
      </c>
      <c r="AL22">
        <v>3.6726999999999999</v>
      </c>
      <c r="AM22" t="s">
        <v>52</v>
      </c>
      <c r="AN22" t="s">
        <v>58</v>
      </c>
      <c r="AO22" t="s">
        <v>59</v>
      </c>
      <c r="AP22" t="s">
        <v>60</v>
      </c>
      <c r="AQ22" t="s">
        <v>55</v>
      </c>
    </row>
    <row r="23" spans="1:43" x14ac:dyDescent="0.3">
      <c r="A23" t="s">
        <v>43</v>
      </c>
      <c r="B23">
        <v>2020</v>
      </c>
      <c r="C23">
        <v>299</v>
      </c>
      <c r="D23">
        <v>5111</v>
      </c>
      <c r="E23">
        <v>30</v>
      </c>
      <c r="F23">
        <v>202305</v>
      </c>
      <c r="G23">
        <v>3100302</v>
      </c>
      <c r="H23" t="s">
        <v>81</v>
      </c>
      <c r="I23" t="s">
        <v>45</v>
      </c>
      <c r="J23">
        <v>7</v>
      </c>
      <c r="K23">
        <f t="shared" ca="1" si="1"/>
        <v>35</v>
      </c>
      <c r="L23">
        <f t="shared" ca="1" si="2"/>
        <v>54</v>
      </c>
      <c r="M23">
        <f t="shared" ca="1" si="3"/>
        <v>-51</v>
      </c>
      <c r="N23">
        <f t="shared" ca="1" si="3"/>
        <v>323</v>
      </c>
      <c r="O23">
        <f t="shared" ca="1" si="0"/>
        <v>406</v>
      </c>
      <c r="P23">
        <f t="shared" ca="1" si="4"/>
        <v>431</v>
      </c>
      <c r="Q23">
        <f t="shared" ca="1" si="5"/>
        <v>830</v>
      </c>
      <c r="R23">
        <f t="shared" ca="1" si="6"/>
        <v>290</v>
      </c>
      <c r="S23">
        <f t="shared" ca="1" si="7"/>
        <v>11963</v>
      </c>
      <c r="T23">
        <f t="shared" ca="1" si="8"/>
        <v>6060</v>
      </c>
      <c r="U23">
        <f t="shared" ca="1" si="9"/>
        <v>1181</v>
      </c>
      <c r="V23">
        <v>0</v>
      </c>
      <c r="W23">
        <v>0</v>
      </c>
      <c r="X23">
        <f t="shared" ca="1" si="10"/>
        <v>-40</v>
      </c>
      <c r="Y23">
        <v>0</v>
      </c>
      <c r="Z23">
        <v>0</v>
      </c>
      <c r="AA23">
        <v>20</v>
      </c>
      <c r="AB23" t="s">
        <v>80</v>
      </c>
      <c r="AC23" t="s">
        <v>82</v>
      </c>
      <c r="AD23">
        <v>1</v>
      </c>
      <c r="AE23">
        <v>52</v>
      </c>
      <c r="AF23">
        <v>265</v>
      </c>
      <c r="AG23" t="s">
        <v>47</v>
      </c>
      <c r="AH23" t="s">
        <v>48</v>
      </c>
      <c r="AI23" t="s">
        <v>49</v>
      </c>
      <c r="AJ23" t="s">
        <v>50</v>
      </c>
      <c r="AK23" t="s">
        <v>51</v>
      </c>
      <c r="AL23">
        <v>3.6726999999999999</v>
      </c>
      <c r="AM23" t="s">
        <v>52</v>
      </c>
      <c r="AN23" t="s">
        <v>58</v>
      </c>
      <c r="AO23" t="s">
        <v>50</v>
      </c>
      <c r="AP23" t="s">
        <v>60</v>
      </c>
      <c r="AQ23" t="s">
        <v>55</v>
      </c>
    </row>
    <row r="24" spans="1:43" x14ac:dyDescent="0.3">
      <c r="A24" t="s">
        <v>43</v>
      </c>
      <c r="B24">
        <v>2020</v>
      </c>
      <c r="C24">
        <v>299</v>
      </c>
      <c r="D24">
        <v>5111</v>
      </c>
      <c r="E24">
        <v>30</v>
      </c>
      <c r="F24">
        <v>202305</v>
      </c>
      <c r="G24">
        <v>3100303</v>
      </c>
      <c r="H24" t="s">
        <v>81</v>
      </c>
      <c r="I24" t="s">
        <v>45</v>
      </c>
      <c r="J24">
        <v>7</v>
      </c>
      <c r="K24">
        <f t="shared" ca="1" si="1"/>
        <v>73</v>
      </c>
      <c r="L24">
        <f t="shared" ca="1" si="2"/>
        <v>-56</v>
      </c>
      <c r="M24">
        <f t="shared" ca="1" si="3"/>
        <v>181</v>
      </c>
      <c r="N24">
        <f t="shared" ca="1" si="3"/>
        <v>463</v>
      </c>
      <c r="O24">
        <f t="shared" ca="1" si="0"/>
        <v>680</v>
      </c>
      <c r="P24">
        <f t="shared" ca="1" si="4"/>
        <v>381</v>
      </c>
      <c r="Q24">
        <f t="shared" ca="1" si="5"/>
        <v>677</v>
      </c>
      <c r="R24">
        <f t="shared" ca="1" si="6"/>
        <v>493</v>
      </c>
      <c r="S24">
        <f t="shared" ca="1" si="7"/>
        <v>8343</v>
      </c>
      <c r="T24">
        <f t="shared" ca="1" si="8"/>
        <v>7941</v>
      </c>
      <c r="U24">
        <f t="shared" ca="1" si="9"/>
        <v>532</v>
      </c>
      <c r="V24">
        <v>0</v>
      </c>
      <c r="W24">
        <v>0</v>
      </c>
      <c r="X24">
        <f t="shared" ca="1" si="10"/>
        <v>-332</v>
      </c>
      <c r="Y24">
        <v>0</v>
      </c>
      <c r="Z24">
        <v>0</v>
      </c>
      <c r="AA24">
        <v>90</v>
      </c>
      <c r="AB24" t="s">
        <v>80</v>
      </c>
      <c r="AC24" t="s">
        <v>83</v>
      </c>
      <c r="AD24">
        <v>1</v>
      </c>
      <c r="AE24">
        <v>52</v>
      </c>
      <c r="AF24">
        <v>265</v>
      </c>
      <c r="AG24" t="s">
        <v>47</v>
      </c>
      <c r="AH24" t="s">
        <v>48</v>
      </c>
      <c r="AI24" t="s">
        <v>49</v>
      </c>
      <c r="AJ24" t="s">
        <v>50</v>
      </c>
      <c r="AK24" t="s">
        <v>51</v>
      </c>
      <c r="AL24">
        <v>3.6726999999999999</v>
      </c>
      <c r="AM24" t="s">
        <v>52</v>
      </c>
      <c r="AN24" t="s">
        <v>58</v>
      </c>
      <c r="AO24" t="s">
        <v>50</v>
      </c>
      <c r="AP24" t="s">
        <v>60</v>
      </c>
      <c r="AQ24" t="s">
        <v>55</v>
      </c>
    </row>
    <row r="25" spans="1:43" x14ac:dyDescent="0.3">
      <c r="A25" t="s">
        <v>43</v>
      </c>
      <c r="B25">
        <v>2020</v>
      </c>
      <c r="C25">
        <v>299</v>
      </c>
      <c r="D25">
        <v>5111</v>
      </c>
      <c r="E25">
        <v>30</v>
      </c>
      <c r="F25">
        <v>202305</v>
      </c>
      <c r="G25">
        <v>3100304</v>
      </c>
      <c r="H25" t="s">
        <v>81</v>
      </c>
      <c r="I25" t="s">
        <v>45</v>
      </c>
      <c r="J25">
        <v>7</v>
      </c>
      <c r="K25">
        <f t="shared" ca="1" si="1"/>
        <v>4</v>
      </c>
      <c r="L25">
        <f t="shared" ca="1" si="2"/>
        <v>-31</v>
      </c>
      <c r="M25">
        <f t="shared" ca="1" si="3"/>
        <v>-70</v>
      </c>
      <c r="N25">
        <f t="shared" ca="1" si="3"/>
        <v>409</v>
      </c>
      <c r="O25">
        <f t="shared" ca="1" si="0"/>
        <v>281</v>
      </c>
      <c r="P25">
        <f t="shared" ca="1" si="4"/>
        <v>77</v>
      </c>
      <c r="Q25">
        <f t="shared" ca="1" si="5"/>
        <v>298</v>
      </c>
      <c r="R25">
        <f t="shared" ca="1" si="6"/>
        <v>107</v>
      </c>
      <c r="S25">
        <f t="shared" ca="1" si="7"/>
        <v>9941</v>
      </c>
      <c r="T25">
        <f t="shared" ca="1" si="8"/>
        <v>1390</v>
      </c>
      <c r="U25">
        <f t="shared" ca="1" si="9"/>
        <v>962</v>
      </c>
      <c r="V25">
        <v>0</v>
      </c>
      <c r="W25">
        <v>0</v>
      </c>
      <c r="X25">
        <f t="shared" ca="1" si="10"/>
        <v>-156</v>
      </c>
      <c r="Y25">
        <v>0</v>
      </c>
      <c r="Z25">
        <v>0</v>
      </c>
      <c r="AA25">
        <v>6</v>
      </c>
      <c r="AB25" t="s">
        <v>80</v>
      </c>
      <c r="AC25" t="s">
        <v>84</v>
      </c>
      <c r="AD25">
        <v>1</v>
      </c>
      <c r="AE25">
        <v>52</v>
      </c>
      <c r="AF25">
        <v>265</v>
      </c>
      <c r="AG25" t="s">
        <v>47</v>
      </c>
      <c r="AH25" t="s">
        <v>48</v>
      </c>
      <c r="AI25" t="s">
        <v>49</v>
      </c>
      <c r="AJ25" t="s">
        <v>50</v>
      </c>
      <c r="AK25" t="s">
        <v>51</v>
      </c>
      <c r="AL25">
        <v>3.6726999999999999</v>
      </c>
      <c r="AM25" t="s">
        <v>52</v>
      </c>
      <c r="AN25" t="s">
        <v>58</v>
      </c>
      <c r="AO25" t="s">
        <v>50</v>
      </c>
      <c r="AP25" t="s">
        <v>60</v>
      </c>
      <c r="AQ25" t="s">
        <v>55</v>
      </c>
    </row>
    <row r="26" spans="1:43" x14ac:dyDescent="0.3">
      <c r="A26" t="s">
        <v>43</v>
      </c>
      <c r="B26">
        <v>2020</v>
      </c>
      <c r="C26">
        <v>299</v>
      </c>
      <c r="D26">
        <v>5111</v>
      </c>
      <c r="E26">
        <v>30</v>
      </c>
      <c r="F26">
        <v>202305</v>
      </c>
      <c r="G26">
        <v>3100305</v>
      </c>
      <c r="H26" t="s">
        <v>81</v>
      </c>
      <c r="I26" t="s">
        <v>45</v>
      </c>
      <c r="J26">
        <v>7</v>
      </c>
      <c r="K26">
        <f t="shared" ca="1" si="1"/>
        <v>2</v>
      </c>
      <c r="L26">
        <f t="shared" ca="1" si="2"/>
        <v>-92</v>
      </c>
      <c r="M26">
        <f t="shared" ca="1" si="3"/>
        <v>33</v>
      </c>
      <c r="N26">
        <f t="shared" ca="1" si="3"/>
        <v>125</v>
      </c>
      <c r="O26">
        <f t="shared" ca="1" si="0"/>
        <v>-2</v>
      </c>
      <c r="P26">
        <f t="shared" ca="1" si="4"/>
        <v>166</v>
      </c>
      <c r="Q26">
        <f t="shared" ca="1" si="5"/>
        <v>927</v>
      </c>
      <c r="R26">
        <f t="shared" ca="1" si="6"/>
        <v>96</v>
      </c>
      <c r="S26">
        <f t="shared" ca="1" si="7"/>
        <v>4034</v>
      </c>
      <c r="T26">
        <f t="shared" ca="1" si="8"/>
        <v>2995</v>
      </c>
      <c r="U26">
        <f t="shared" ca="1" si="9"/>
        <v>845</v>
      </c>
      <c r="V26">
        <v>0</v>
      </c>
      <c r="W26">
        <v>0</v>
      </c>
      <c r="X26">
        <f t="shared" ca="1" si="10"/>
        <v>0</v>
      </c>
      <c r="Y26">
        <v>0</v>
      </c>
      <c r="Z26">
        <v>0</v>
      </c>
      <c r="AA26">
        <v>43</v>
      </c>
      <c r="AB26" t="s">
        <v>80</v>
      </c>
      <c r="AC26" t="s">
        <v>85</v>
      </c>
      <c r="AD26">
        <v>1</v>
      </c>
      <c r="AE26">
        <v>52</v>
      </c>
      <c r="AF26">
        <v>265</v>
      </c>
      <c r="AG26" t="s">
        <v>47</v>
      </c>
      <c r="AH26" t="s">
        <v>48</v>
      </c>
      <c r="AI26" t="s">
        <v>49</v>
      </c>
      <c r="AJ26" t="s">
        <v>50</v>
      </c>
      <c r="AK26" t="s">
        <v>51</v>
      </c>
      <c r="AL26">
        <v>3.6726999999999999</v>
      </c>
      <c r="AM26" t="s">
        <v>52</v>
      </c>
      <c r="AN26" t="s">
        <v>58</v>
      </c>
      <c r="AO26" t="s">
        <v>50</v>
      </c>
      <c r="AP26" t="s">
        <v>60</v>
      </c>
      <c r="AQ26" t="s">
        <v>55</v>
      </c>
    </row>
    <row r="27" spans="1:43" x14ac:dyDescent="0.3">
      <c r="A27" t="s">
        <v>43</v>
      </c>
      <c r="B27">
        <v>2020</v>
      </c>
      <c r="C27">
        <v>299</v>
      </c>
      <c r="D27">
        <v>5111</v>
      </c>
      <c r="E27">
        <v>30</v>
      </c>
      <c r="F27">
        <v>202305</v>
      </c>
      <c r="G27">
        <v>3100313</v>
      </c>
      <c r="H27" t="s">
        <v>81</v>
      </c>
      <c r="I27" t="s">
        <v>45</v>
      </c>
      <c r="J27">
        <v>7</v>
      </c>
      <c r="K27">
        <f t="shared" ca="1" si="1"/>
        <v>77</v>
      </c>
      <c r="L27">
        <f t="shared" ca="1" si="2"/>
        <v>-97</v>
      </c>
      <c r="M27">
        <f t="shared" ca="1" si="3"/>
        <v>361</v>
      </c>
      <c r="N27">
        <f t="shared" ca="1" si="3"/>
        <v>-30</v>
      </c>
      <c r="O27">
        <f t="shared" ca="1" si="0"/>
        <v>955</v>
      </c>
      <c r="P27">
        <f t="shared" ca="1" si="4"/>
        <v>647</v>
      </c>
      <c r="Q27">
        <f t="shared" ca="1" si="5"/>
        <v>924</v>
      </c>
      <c r="R27">
        <f t="shared" ca="1" si="6"/>
        <v>278</v>
      </c>
      <c r="S27">
        <f t="shared" ca="1" si="7"/>
        <v>13713</v>
      </c>
      <c r="T27">
        <f t="shared" ca="1" si="8"/>
        <v>4105</v>
      </c>
      <c r="U27">
        <f t="shared" ca="1" si="9"/>
        <v>688</v>
      </c>
      <c r="V27">
        <v>0</v>
      </c>
      <c r="W27">
        <v>0</v>
      </c>
      <c r="X27">
        <f t="shared" ca="1" si="10"/>
        <v>-169</v>
      </c>
      <c r="Y27">
        <v>0</v>
      </c>
      <c r="Z27">
        <v>0</v>
      </c>
      <c r="AA27">
        <v>0</v>
      </c>
      <c r="AB27" t="s">
        <v>80</v>
      </c>
      <c r="AC27" t="s">
        <v>86</v>
      </c>
      <c r="AD27">
        <v>1</v>
      </c>
      <c r="AE27">
        <v>52</v>
      </c>
      <c r="AF27">
        <v>265</v>
      </c>
      <c r="AG27" t="s">
        <v>47</v>
      </c>
      <c r="AH27" t="s">
        <v>48</v>
      </c>
      <c r="AI27" t="s">
        <v>49</v>
      </c>
      <c r="AJ27" t="s">
        <v>50</v>
      </c>
      <c r="AK27" t="s">
        <v>51</v>
      </c>
      <c r="AL27">
        <v>3.6726999999999999</v>
      </c>
      <c r="AM27" t="s">
        <v>52</v>
      </c>
      <c r="AN27" t="s">
        <v>58</v>
      </c>
      <c r="AO27" t="s">
        <v>50</v>
      </c>
      <c r="AP27" t="s">
        <v>60</v>
      </c>
      <c r="AQ27" t="s">
        <v>55</v>
      </c>
    </row>
    <row r="28" spans="1:43" x14ac:dyDescent="0.3">
      <c r="A28" t="s">
        <v>43</v>
      </c>
      <c r="B28">
        <v>2020</v>
      </c>
      <c r="C28">
        <v>299</v>
      </c>
      <c r="D28">
        <v>5111</v>
      </c>
      <c r="E28">
        <v>30</v>
      </c>
      <c r="F28">
        <v>202305</v>
      </c>
      <c r="G28">
        <v>3100330</v>
      </c>
      <c r="H28" t="s">
        <v>81</v>
      </c>
      <c r="I28" t="s">
        <v>45</v>
      </c>
      <c r="J28">
        <v>7</v>
      </c>
      <c r="K28">
        <f t="shared" ca="1" si="1"/>
        <v>35</v>
      </c>
      <c r="L28">
        <f t="shared" ca="1" si="2"/>
        <v>27</v>
      </c>
      <c r="M28">
        <f t="shared" ca="1" si="3"/>
        <v>162</v>
      </c>
      <c r="N28">
        <f t="shared" ca="1" si="3"/>
        <v>253</v>
      </c>
      <c r="O28">
        <f t="shared" ca="1" si="0"/>
        <v>412</v>
      </c>
      <c r="P28">
        <f t="shared" ca="1" si="4"/>
        <v>601</v>
      </c>
      <c r="Q28">
        <f t="shared" ca="1" si="5"/>
        <v>1187</v>
      </c>
      <c r="R28">
        <f t="shared" ca="1" si="6"/>
        <v>301</v>
      </c>
      <c r="S28">
        <f t="shared" ca="1" si="7"/>
        <v>13418</v>
      </c>
      <c r="T28">
        <f t="shared" ca="1" si="8"/>
        <v>-2</v>
      </c>
      <c r="U28">
        <f t="shared" ca="1" si="9"/>
        <v>966</v>
      </c>
      <c r="V28">
        <v>0</v>
      </c>
      <c r="W28">
        <v>0</v>
      </c>
      <c r="X28">
        <f t="shared" ca="1" si="10"/>
        <v>-30</v>
      </c>
      <c r="Y28">
        <v>0</v>
      </c>
      <c r="Z28">
        <v>0</v>
      </c>
      <c r="AA28">
        <v>0</v>
      </c>
      <c r="AB28" t="s">
        <v>80</v>
      </c>
      <c r="AC28" t="s">
        <v>87</v>
      </c>
      <c r="AD28">
        <v>1</v>
      </c>
      <c r="AE28">
        <v>52</v>
      </c>
      <c r="AF28">
        <v>265</v>
      </c>
      <c r="AG28" t="s">
        <v>47</v>
      </c>
      <c r="AH28" t="s">
        <v>48</v>
      </c>
      <c r="AI28" t="s">
        <v>49</v>
      </c>
      <c r="AJ28" t="s">
        <v>50</v>
      </c>
      <c r="AK28" t="s">
        <v>51</v>
      </c>
      <c r="AL28">
        <v>3.6726999999999999</v>
      </c>
      <c r="AM28" t="s">
        <v>52</v>
      </c>
      <c r="AN28" t="s">
        <v>58</v>
      </c>
      <c r="AO28" t="s">
        <v>50</v>
      </c>
      <c r="AP28" t="s">
        <v>60</v>
      </c>
      <c r="AQ28" t="s">
        <v>55</v>
      </c>
    </row>
    <row r="29" spans="1:43" x14ac:dyDescent="0.3">
      <c r="A29" t="s">
        <v>43</v>
      </c>
      <c r="B29">
        <v>2020</v>
      </c>
      <c r="C29">
        <v>299</v>
      </c>
      <c r="D29">
        <v>5111</v>
      </c>
      <c r="E29">
        <v>30</v>
      </c>
      <c r="F29">
        <v>202305</v>
      </c>
      <c r="G29">
        <v>3100332</v>
      </c>
      <c r="H29" t="s">
        <v>81</v>
      </c>
      <c r="I29" t="s">
        <v>45</v>
      </c>
      <c r="J29">
        <v>7</v>
      </c>
      <c r="K29">
        <f t="shared" ca="1" si="1"/>
        <v>71</v>
      </c>
      <c r="L29">
        <f t="shared" ca="1" si="2"/>
        <v>95</v>
      </c>
      <c r="M29">
        <f t="shared" ca="1" si="3"/>
        <v>45</v>
      </c>
      <c r="N29">
        <f t="shared" ca="1" si="3"/>
        <v>391</v>
      </c>
      <c r="O29">
        <f t="shared" ca="1" si="0"/>
        <v>652</v>
      </c>
      <c r="P29">
        <f t="shared" ca="1" si="4"/>
        <v>1166</v>
      </c>
      <c r="Q29">
        <f t="shared" ca="1" si="5"/>
        <v>1119</v>
      </c>
      <c r="R29">
        <f t="shared" ca="1" si="6"/>
        <v>-71</v>
      </c>
      <c r="S29">
        <f t="shared" ca="1" si="7"/>
        <v>10433</v>
      </c>
      <c r="T29">
        <f t="shared" ca="1" si="8"/>
        <v>5049</v>
      </c>
      <c r="U29">
        <f t="shared" ca="1" si="9"/>
        <v>526</v>
      </c>
      <c r="V29">
        <v>0</v>
      </c>
      <c r="W29">
        <v>0</v>
      </c>
      <c r="X29">
        <f t="shared" ca="1" si="10"/>
        <v>-485</v>
      </c>
      <c r="Y29">
        <v>0</v>
      </c>
      <c r="Z29">
        <v>0</v>
      </c>
      <c r="AA29">
        <v>64</v>
      </c>
      <c r="AB29" t="s">
        <v>80</v>
      </c>
      <c r="AC29" t="s">
        <v>88</v>
      </c>
      <c r="AD29">
        <v>1</v>
      </c>
      <c r="AE29">
        <v>52</v>
      </c>
      <c r="AF29">
        <v>265</v>
      </c>
      <c r="AG29" t="s">
        <v>47</v>
      </c>
      <c r="AH29" t="s">
        <v>48</v>
      </c>
      <c r="AI29" t="s">
        <v>49</v>
      </c>
      <c r="AJ29" t="s">
        <v>50</v>
      </c>
      <c r="AK29" t="s">
        <v>51</v>
      </c>
      <c r="AL29">
        <v>3.6726999999999999</v>
      </c>
      <c r="AM29" t="s">
        <v>52</v>
      </c>
      <c r="AN29" t="s">
        <v>58</v>
      </c>
      <c r="AO29" t="s">
        <v>50</v>
      </c>
      <c r="AP29" t="s">
        <v>60</v>
      </c>
      <c r="AQ29" t="s">
        <v>55</v>
      </c>
    </row>
    <row r="30" spans="1:43" x14ac:dyDescent="0.3">
      <c r="A30" t="s">
        <v>43</v>
      </c>
      <c r="B30">
        <v>2020</v>
      </c>
      <c r="C30">
        <v>299</v>
      </c>
      <c r="D30">
        <v>5111</v>
      </c>
      <c r="E30">
        <v>30</v>
      </c>
      <c r="F30">
        <v>202305</v>
      </c>
      <c r="G30">
        <v>3100364</v>
      </c>
      <c r="H30" t="s">
        <v>81</v>
      </c>
      <c r="I30" t="s">
        <v>45</v>
      </c>
      <c r="J30">
        <v>7</v>
      </c>
      <c r="K30">
        <f t="shared" ca="1" si="1"/>
        <v>32</v>
      </c>
      <c r="L30">
        <f t="shared" ca="1" si="2"/>
        <v>-18</v>
      </c>
      <c r="M30">
        <f t="shared" ca="1" si="3"/>
        <v>63</v>
      </c>
      <c r="N30">
        <f t="shared" ca="1" si="3"/>
        <v>426</v>
      </c>
      <c r="O30">
        <f t="shared" ca="1" si="0"/>
        <v>772</v>
      </c>
      <c r="P30">
        <f t="shared" ca="1" si="4"/>
        <v>1014</v>
      </c>
      <c r="Q30">
        <f t="shared" ca="1" si="5"/>
        <v>306</v>
      </c>
      <c r="R30">
        <f t="shared" ca="1" si="6"/>
        <v>-61</v>
      </c>
      <c r="S30">
        <f t="shared" ca="1" si="7"/>
        <v>10395</v>
      </c>
      <c r="T30">
        <f t="shared" ca="1" si="8"/>
        <v>6762</v>
      </c>
      <c r="U30">
        <f t="shared" ca="1" si="9"/>
        <v>562</v>
      </c>
      <c r="V30">
        <v>0</v>
      </c>
      <c r="W30">
        <v>0</v>
      </c>
      <c r="X30">
        <f t="shared" ca="1" si="10"/>
        <v>-385</v>
      </c>
      <c r="Y30">
        <v>0</v>
      </c>
      <c r="Z30">
        <v>0</v>
      </c>
      <c r="AA30">
        <v>0</v>
      </c>
      <c r="AB30" t="s">
        <v>80</v>
      </c>
      <c r="AC30" t="s">
        <v>89</v>
      </c>
      <c r="AD30">
        <v>1</v>
      </c>
      <c r="AE30">
        <v>52</v>
      </c>
      <c r="AF30">
        <v>265</v>
      </c>
      <c r="AG30" t="s">
        <v>47</v>
      </c>
      <c r="AH30" t="s">
        <v>48</v>
      </c>
      <c r="AI30" t="s">
        <v>49</v>
      </c>
      <c r="AJ30" t="s">
        <v>50</v>
      </c>
      <c r="AK30" t="s">
        <v>51</v>
      </c>
      <c r="AL30">
        <v>3.6726999999999999</v>
      </c>
      <c r="AM30" t="s">
        <v>52</v>
      </c>
      <c r="AN30" t="s">
        <v>58</v>
      </c>
      <c r="AO30" t="s">
        <v>50</v>
      </c>
      <c r="AP30" t="s">
        <v>60</v>
      </c>
      <c r="AQ30" t="s">
        <v>55</v>
      </c>
    </row>
    <row r="31" spans="1:43" x14ac:dyDescent="0.3">
      <c r="A31" t="s">
        <v>43</v>
      </c>
      <c r="B31">
        <v>2020</v>
      </c>
      <c r="C31">
        <v>299</v>
      </c>
      <c r="D31">
        <v>5111</v>
      </c>
      <c r="E31">
        <v>30</v>
      </c>
      <c r="F31">
        <v>202305</v>
      </c>
      <c r="G31">
        <v>3100393</v>
      </c>
      <c r="H31" t="s">
        <v>81</v>
      </c>
      <c r="I31" t="s">
        <v>45</v>
      </c>
      <c r="J31">
        <v>7</v>
      </c>
      <c r="K31">
        <f t="shared" ca="1" si="1"/>
        <v>50</v>
      </c>
      <c r="L31">
        <f t="shared" ca="1" si="2"/>
        <v>76</v>
      </c>
      <c r="M31">
        <f t="shared" ca="1" si="3"/>
        <v>3</v>
      </c>
      <c r="N31">
        <f t="shared" ca="1" si="3"/>
        <v>372</v>
      </c>
      <c r="O31">
        <f t="shared" ca="1" si="0"/>
        <v>577</v>
      </c>
      <c r="P31">
        <f t="shared" ca="1" si="4"/>
        <v>-192</v>
      </c>
      <c r="Q31">
        <f t="shared" ca="1" si="5"/>
        <v>720</v>
      </c>
      <c r="R31">
        <f t="shared" ca="1" si="6"/>
        <v>-10</v>
      </c>
      <c r="S31">
        <f t="shared" ca="1" si="7"/>
        <v>9755</v>
      </c>
      <c r="T31">
        <f t="shared" ca="1" si="8"/>
        <v>6984</v>
      </c>
      <c r="U31">
        <f t="shared" ca="1" si="9"/>
        <v>108</v>
      </c>
      <c r="V31">
        <v>0</v>
      </c>
      <c r="W31">
        <v>0</v>
      </c>
      <c r="X31">
        <f t="shared" ca="1" si="10"/>
        <v>-329</v>
      </c>
      <c r="Y31">
        <v>0</v>
      </c>
      <c r="Z31">
        <v>0</v>
      </c>
      <c r="AA31">
        <v>0</v>
      </c>
      <c r="AB31" t="s">
        <v>80</v>
      </c>
      <c r="AC31" t="s">
        <v>90</v>
      </c>
      <c r="AD31">
        <v>1</v>
      </c>
      <c r="AE31">
        <v>52</v>
      </c>
      <c r="AF31">
        <v>265</v>
      </c>
      <c r="AG31" t="s">
        <v>47</v>
      </c>
      <c r="AH31" t="s">
        <v>48</v>
      </c>
      <c r="AI31" t="s">
        <v>49</v>
      </c>
      <c r="AJ31" t="s">
        <v>50</v>
      </c>
      <c r="AK31" t="s">
        <v>51</v>
      </c>
      <c r="AL31">
        <v>3.6726999999999999</v>
      </c>
      <c r="AM31" t="s">
        <v>52</v>
      </c>
      <c r="AN31" t="s">
        <v>58</v>
      </c>
      <c r="AO31" t="s">
        <v>50</v>
      </c>
      <c r="AP31" t="s">
        <v>60</v>
      </c>
      <c r="AQ31" t="s">
        <v>55</v>
      </c>
    </row>
    <row r="32" spans="1:43" x14ac:dyDescent="0.3">
      <c r="A32" t="s">
        <v>43</v>
      </c>
      <c r="B32">
        <v>2020</v>
      </c>
      <c r="C32">
        <v>299</v>
      </c>
      <c r="D32">
        <v>5111</v>
      </c>
      <c r="E32">
        <v>30</v>
      </c>
      <c r="F32">
        <v>202305</v>
      </c>
      <c r="G32">
        <v>3300347</v>
      </c>
      <c r="H32" t="s">
        <v>81</v>
      </c>
      <c r="I32" t="s">
        <v>45</v>
      </c>
      <c r="J32">
        <v>7</v>
      </c>
      <c r="K32">
        <f t="shared" ca="1" si="1"/>
        <v>24</v>
      </c>
      <c r="L32">
        <f t="shared" ca="1" si="2"/>
        <v>9</v>
      </c>
      <c r="M32">
        <f t="shared" ca="1" si="3"/>
        <v>469</v>
      </c>
      <c r="N32">
        <f t="shared" ca="1" si="3"/>
        <v>45</v>
      </c>
      <c r="O32">
        <f t="shared" ca="1" si="0"/>
        <v>374</v>
      </c>
      <c r="P32">
        <f t="shared" ca="1" si="4"/>
        <v>558</v>
      </c>
      <c r="Q32">
        <f t="shared" ca="1" si="5"/>
        <v>1047</v>
      </c>
      <c r="R32">
        <f t="shared" ca="1" si="6"/>
        <v>-77</v>
      </c>
      <c r="S32">
        <f t="shared" ca="1" si="7"/>
        <v>12651</v>
      </c>
      <c r="T32">
        <f t="shared" ca="1" si="8"/>
        <v>9787</v>
      </c>
      <c r="U32">
        <f t="shared" ca="1" si="9"/>
        <v>313</v>
      </c>
      <c r="V32">
        <v>0</v>
      </c>
      <c r="W32">
        <v>0</v>
      </c>
      <c r="X32">
        <f t="shared" ca="1" si="10"/>
        <v>67</v>
      </c>
      <c r="Y32">
        <v>0</v>
      </c>
      <c r="Z32">
        <v>0</v>
      </c>
      <c r="AA32">
        <v>92</v>
      </c>
      <c r="AB32" t="s">
        <v>91</v>
      </c>
      <c r="AC32" t="s">
        <v>92</v>
      </c>
      <c r="AD32">
        <v>1</v>
      </c>
      <c r="AE32">
        <v>52</v>
      </c>
      <c r="AF32">
        <v>265</v>
      </c>
      <c r="AG32" t="s">
        <v>47</v>
      </c>
      <c r="AH32" t="s">
        <v>48</v>
      </c>
      <c r="AI32" t="s">
        <v>49</v>
      </c>
      <c r="AJ32" t="s">
        <v>50</v>
      </c>
      <c r="AK32" t="s">
        <v>51</v>
      </c>
      <c r="AL32">
        <v>3.6726999999999999</v>
      </c>
      <c r="AM32" t="s">
        <v>52</v>
      </c>
      <c r="AN32" t="s">
        <v>58</v>
      </c>
      <c r="AO32" t="s">
        <v>50</v>
      </c>
      <c r="AP32" t="s">
        <v>60</v>
      </c>
      <c r="AQ32" t="s">
        <v>55</v>
      </c>
    </row>
    <row r="33" spans="1:43" x14ac:dyDescent="0.3">
      <c r="A33" t="s">
        <v>43</v>
      </c>
      <c r="B33">
        <v>2020</v>
      </c>
      <c r="C33">
        <v>299</v>
      </c>
      <c r="D33">
        <v>5211</v>
      </c>
      <c r="E33">
        <v>1</v>
      </c>
      <c r="F33">
        <v>202305</v>
      </c>
      <c r="G33">
        <v>1</v>
      </c>
      <c r="H33" t="s">
        <v>56</v>
      </c>
      <c r="I33" t="s">
        <v>45</v>
      </c>
      <c r="J33">
        <v>2</v>
      </c>
      <c r="K33">
        <f t="shared" ca="1" si="1"/>
        <v>95</v>
      </c>
      <c r="L33">
        <f t="shared" ca="1" si="2"/>
        <v>66</v>
      </c>
      <c r="M33">
        <f t="shared" ca="1" si="3"/>
        <v>147</v>
      </c>
      <c r="N33">
        <f t="shared" ca="1" si="3"/>
        <v>298</v>
      </c>
      <c r="O33">
        <f t="shared" ca="1" si="0"/>
        <v>704</v>
      </c>
      <c r="P33">
        <f t="shared" ca="1" si="4"/>
        <v>499</v>
      </c>
      <c r="Q33">
        <f t="shared" ca="1" si="5"/>
        <v>921</v>
      </c>
      <c r="R33">
        <f t="shared" ca="1" si="6"/>
        <v>180</v>
      </c>
      <c r="S33">
        <f t="shared" ca="1" si="7"/>
        <v>13179</v>
      </c>
      <c r="T33">
        <f t="shared" ca="1" si="8"/>
        <v>6173</v>
      </c>
      <c r="U33">
        <f t="shared" ca="1" si="9"/>
        <v>340</v>
      </c>
      <c r="V33">
        <v>0</v>
      </c>
      <c r="W33">
        <v>0</v>
      </c>
      <c r="X33">
        <f t="shared" ca="1" si="10"/>
        <v>-256</v>
      </c>
      <c r="Y33">
        <v>0</v>
      </c>
      <c r="Z33">
        <v>0</v>
      </c>
      <c r="AA33">
        <v>95</v>
      </c>
      <c r="AB33" t="s">
        <v>57</v>
      </c>
      <c r="AD33">
        <v>1</v>
      </c>
      <c r="AE33">
        <v>52</v>
      </c>
      <c r="AF33">
        <v>265</v>
      </c>
      <c r="AG33" t="s">
        <v>47</v>
      </c>
      <c r="AH33" t="s">
        <v>48</v>
      </c>
      <c r="AI33" t="s">
        <v>49</v>
      </c>
      <c r="AJ33" t="s">
        <v>50</v>
      </c>
      <c r="AK33" t="s">
        <v>51</v>
      </c>
      <c r="AL33">
        <v>3.6726999999999999</v>
      </c>
      <c r="AM33" t="s">
        <v>52</v>
      </c>
      <c r="AN33" t="s">
        <v>93</v>
      </c>
      <c r="AO33" t="s">
        <v>59</v>
      </c>
      <c r="AP33" t="s">
        <v>94</v>
      </c>
      <c r="AQ33" t="s">
        <v>55</v>
      </c>
    </row>
    <row r="34" spans="1:43" x14ac:dyDescent="0.3">
      <c r="A34" t="s">
        <v>43</v>
      </c>
      <c r="B34">
        <v>2020</v>
      </c>
      <c r="C34">
        <v>299</v>
      </c>
      <c r="D34">
        <v>5211</v>
      </c>
      <c r="E34">
        <v>1</v>
      </c>
      <c r="F34">
        <v>202305</v>
      </c>
      <c r="G34">
        <v>2</v>
      </c>
      <c r="H34" t="s">
        <v>56</v>
      </c>
      <c r="I34" t="s">
        <v>45</v>
      </c>
      <c r="J34">
        <v>2</v>
      </c>
      <c r="K34">
        <f t="shared" ca="1" si="1"/>
        <v>96</v>
      </c>
      <c r="L34">
        <f t="shared" ca="1" si="2"/>
        <v>-62</v>
      </c>
      <c r="M34">
        <f t="shared" ca="1" si="3"/>
        <v>-20</v>
      </c>
      <c r="N34">
        <f t="shared" ca="1" si="3"/>
        <v>374</v>
      </c>
      <c r="O34">
        <f t="shared" ca="1" si="0"/>
        <v>769</v>
      </c>
      <c r="P34">
        <f t="shared" ca="1" si="4"/>
        <v>-313</v>
      </c>
      <c r="Q34">
        <f t="shared" ca="1" si="5"/>
        <v>39</v>
      </c>
      <c r="R34">
        <f t="shared" ca="1" si="6"/>
        <v>473</v>
      </c>
      <c r="S34">
        <f t="shared" ca="1" si="7"/>
        <v>14093</v>
      </c>
      <c r="T34">
        <f t="shared" ca="1" si="8"/>
        <v>3580</v>
      </c>
      <c r="U34">
        <f t="shared" ca="1" si="9"/>
        <v>58</v>
      </c>
      <c r="V34">
        <v>0</v>
      </c>
      <c r="W34">
        <v>0</v>
      </c>
      <c r="X34">
        <f t="shared" ca="1" si="10"/>
        <v>-27</v>
      </c>
      <c r="Y34">
        <v>0</v>
      </c>
      <c r="Z34">
        <v>0</v>
      </c>
      <c r="AA34">
        <v>100</v>
      </c>
      <c r="AB34" t="s">
        <v>61</v>
      </c>
      <c r="AD34">
        <v>1</v>
      </c>
      <c r="AE34">
        <v>52</v>
      </c>
      <c r="AF34">
        <v>265</v>
      </c>
      <c r="AG34" t="s">
        <v>47</v>
      </c>
      <c r="AH34" t="s">
        <v>48</v>
      </c>
      <c r="AI34" t="s">
        <v>49</v>
      </c>
      <c r="AJ34" t="s">
        <v>50</v>
      </c>
      <c r="AK34" t="s">
        <v>51</v>
      </c>
      <c r="AL34">
        <v>3.6726999999999999</v>
      </c>
      <c r="AM34" t="s">
        <v>52</v>
      </c>
      <c r="AN34" t="s">
        <v>93</v>
      </c>
      <c r="AO34" t="s">
        <v>59</v>
      </c>
      <c r="AP34" t="s">
        <v>94</v>
      </c>
      <c r="AQ34" t="s">
        <v>55</v>
      </c>
    </row>
    <row r="35" spans="1:43" x14ac:dyDescent="0.3">
      <c r="A35" t="s">
        <v>43</v>
      </c>
      <c r="B35">
        <v>2020</v>
      </c>
      <c r="C35">
        <v>299</v>
      </c>
      <c r="D35">
        <v>5211</v>
      </c>
      <c r="E35">
        <v>1</v>
      </c>
      <c r="F35">
        <v>202305</v>
      </c>
      <c r="G35">
        <v>3</v>
      </c>
      <c r="H35" t="s">
        <v>56</v>
      </c>
      <c r="I35" t="s">
        <v>45</v>
      </c>
      <c r="J35">
        <v>2</v>
      </c>
      <c r="K35">
        <f t="shared" ca="1" si="1"/>
        <v>89</v>
      </c>
      <c r="L35">
        <f t="shared" ca="1" si="2"/>
        <v>83</v>
      </c>
      <c r="M35">
        <f t="shared" ca="1" si="3"/>
        <v>299</v>
      </c>
      <c r="N35">
        <f t="shared" ca="1" si="3"/>
        <v>38</v>
      </c>
      <c r="O35">
        <f t="shared" ca="1" si="0"/>
        <v>175</v>
      </c>
      <c r="P35">
        <f t="shared" ca="1" si="4"/>
        <v>-109</v>
      </c>
      <c r="Q35">
        <f t="shared" ca="1" si="5"/>
        <v>134</v>
      </c>
      <c r="R35">
        <f t="shared" ca="1" si="6"/>
        <v>223</v>
      </c>
      <c r="S35">
        <f t="shared" ca="1" si="7"/>
        <v>8361</v>
      </c>
      <c r="T35">
        <f t="shared" ca="1" si="8"/>
        <v>5305</v>
      </c>
      <c r="U35">
        <f t="shared" ca="1" si="9"/>
        <v>862</v>
      </c>
      <c r="V35">
        <v>0</v>
      </c>
      <c r="W35">
        <v>0</v>
      </c>
      <c r="X35">
        <f t="shared" ca="1" si="10"/>
        <v>5</v>
      </c>
      <c r="Y35">
        <v>0</v>
      </c>
      <c r="Z35">
        <v>475</v>
      </c>
      <c r="AA35">
        <v>100</v>
      </c>
      <c r="AB35" t="s">
        <v>62</v>
      </c>
      <c r="AD35">
        <v>1</v>
      </c>
      <c r="AE35">
        <v>52</v>
      </c>
      <c r="AF35">
        <v>265</v>
      </c>
      <c r="AG35" t="s">
        <v>47</v>
      </c>
      <c r="AH35" t="s">
        <v>48</v>
      </c>
      <c r="AI35" t="s">
        <v>49</v>
      </c>
      <c r="AJ35" t="s">
        <v>50</v>
      </c>
      <c r="AK35" t="s">
        <v>51</v>
      </c>
      <c r="AL35">
        <v>3.6726999999999999</v>
      </c>
      <c r="AM35" t="s">
        <v>52</v>
      </c>
      <c r="AN35" t="s">
        <v>93</v>
      </c>
      <c r="AO35" t="s">
        <v>59</v>
      </c>
      <c r="AP35" t="s">
        <v>94</v>
      </c>
      <c r="AQ35" t="s">
        <v>55</v>
      </c>
    </row>
    <row r="36" spans="1:43" x14ac:dyDescent="0.3">
      <c r="A36" t="s">
        <v>43</v>
      </c>
      <c r="B36">
        <v>2020</v>
      </c>
      <c r="C36">
        <v>299</v>
      </c>
      <c r="D36">
        <v>5211</v>
      </c>
      <c r="E36">
        <v>1</v>
      </c>
      <c r="F36">
        <v>202305</v>
      </c>
      <c r="G36">
        <v>4</v>
      </c>
      <c r="H36" t="s">
        <v>56</v>
      </c>
      <c r="I36" t="s">
        <v>45</v>
      </c>
      <c r="J36">
        <v>2</v>
      </c>
      <c r="K36">
        <f t="shared" ca="1" si="1"/>
        <v>11</v>
      </c>
      <c r="L36">
        <f t="shared" ca="1" si="2"/>
        <v>-32</v>
      </c>
      <c r="M36">
        <f t="shared" ca="1" si="3"/>
        <v>302</v>
      </c>
      <c r="N36">
        <f t="shared" ca="1" si="3"/>
        <v>166</v>
      </c>
      <c r="O36">
        <f t="shared" ca="1" si="0"/>
        <v>946</v>
      </c>
      <c r="P36">
        <f t="shared" ca="1" si="4"/>
        <v>229</v>
      </c>
      <c r="Q36">
        <f t="shared" ca="1" si="5"/>
        <v>242</v>
      </c>
      <c r="R36">
        <f t="shared" ca="1" si="6"/>
        <v>98</v>
      </c>
      <c r="S36">
        <f t="shared" ca="1" si="7"/>
        <v>2955</v>
      </c>
      <c r="T36">
        <f t="shared" ca="1" si="8"/>
        <v>7953</v>
      </c>
      <c r="U36">
        <f t="shared" ca="1" si="9"/>
        <v>937</v>
      </c>
      <c r="V36">
        <v>0</v>
      </c>
      <c r="W36">
        <v>0</v>
      </c>
      <c r="X36">
        <f t="shared" ca="1" si="10"/>
        <v>-373</v>
      </c>
      <c r="Y36">
        <v>0</v>
      </c>
      <c r="Z36">
        <v>0</v>
      </c>
      <c r="AA36">
        <v>78</v>
      </c>
      <c r="AB36" t="s">
        <v>63</v>
      </c>
      <c r="AD36">
        <v>1</v>
      </c>
      <c r="AE36">
        <v>52</v>
      </c>
      <c r="AF36">
        <v>265</v>
      </c>
      <c r="AG36" t="s">
        <v>47</v>
      </c>
      <c r="AH36" t="s">
        <v>48</v>
      </c>
      <c r="AI36" t="s">
        <v>49</v>
      </c>
      <c r="AJ36" t="s">
        <v>50</v>
      </c>
      <c r="AK36" t="s">
        <v>51</v>
      </c>
      <c r="AL36">
        <v>3.6726999999999999</v>
      </c>
      <c r="AM36" t="s">
        <v>52</v>
      </c>
      <c r="AN36" t="s">
        <v>93</v>
      </c>
      <c r="AO36" t="s">
        <v>59</v>
      </c>
      <c r="AP36" t="s">
        <v>94</v>
      </c>
      <c r="AQ36" t="s">
        <v>55</v>
      </c>
    </row>
    <row r="37" spans="1:43" x14ac:dyDescent="0.3">
      <c r="A37" t="s">
        <v>43</v>
      </c>
      <c r="B37">
        <v>2020</v>
      </c>
      <c r="C37">
        <v>299</v>
      </c>
      <c r="D37">
        <v>5211</v>
      </c>
      <c r="E37">
        <v>1</v>
      </c>
      <c r="F37">
        <v>202305</v>
      </c>
      <c r="G37">
        <v>5</v>
      </c>
      <c r="H37" t="s">
        <v>56</v>
      </c>
      <c r="I37" t="s">
        <v>45</v>
      </c>
      <c r="J37">
        <v>2</v>
      </c>
      <c r="K37">
        <f t="shared" ca="1" si="1"/>
        <v>74</v>
      </c>
      <c r="L37">
        <f t="shared" ca="1" si="2"/>
        <v>65</v>
      </c>
      <c r="M37">
        <f t="shared" ca="1" si="3"/>
        <v>227</v>
      </c>
      <c r="N37">
        <f t="shared" ca="1" si="3"/>
        <v>45</v>
      </c>
      <c r="O37">
        <f t="shared" ca="1" si="0"/>
        <v>266</v>
      </c>
      <c r="P37">
        <f t="shared" ca="1" si="4"/>
        <v>272</v>
      </c>
      <c r="Q37">
        <f t="shared" ca="1" si="5"/>
        <v>524</v>
      </c>
      <c r="R37">
        <f t="shared" ca="1" si="6"/>
        <v>439</v>
      </c>
      <c r="S37">
        <f t="shared" ca="1" si="7"/>
        <v>11476</v>
      </c>
      <c r="T37">
        <f t="shared" ca="1" si="8"/>
        <v>7386</v>
      </c>
      <c r="U37">
        <f t="shared" ca="1" si="9"/>
        <v>433</v>
      </c>
      <c r="V37">
        <v>0</v>
      </c>
      <c r="W37">
        <v>0</v>
      </c>
      <c r="X37">
        <f t="shared" ca="1" si="10"/>
        <v>-59</v>
      </c>
      <c r="Y37">
        <v>0</v>
      </c>
      <c r="Z37">
        <v>0</v>
      </c>
      <c r="AA37">
        <v>85</v>
      </c>
      <c r="AB37" t="s">
        <v>64</v>
      </c>
      <c r="AD37">
        <v>1</v>
      </c>
      <c r="AE37">
        <v>52</v>
      </c>
      <c r="AF37">
        <v>265</v>
      </c>
      <c r="AG37" t="s">
        <v>47</v>
      </c>
      <c r="AH37" t="s">
        <v>48</v>
      </c>
      <c r="AI37" t="s">
        <v>49</v>
      </c>
      <c r="AJ37" t="s">
        <v>50</v>
      </c>
      <c r="AK37" t="s">
        <v>51</v>
      </c>
      <c r="AL37">
        <v>3.6726999999999999</v>
      </c>
      <c r="AM37" t="s">
        <v>52</v>
      </c>
      <c r="AN37" t="s">
        <v>93</v>
      </c>
      <c r="AO37" t="s">
        <v>59</v>
      </c>
      <c r="AP37" t="s">
        <v>94</v>
      </c>
      <c r="AQ37" t="s">
        <v>55</v>
      </c>
    </row>
    <row r="38" spans="1:43" x14ac:dyDescent="0.3">
      <c r="A38" t="s">
        <v>43</v>
      </c>
      <c r="B38">
        <v>2020</v>
      </c>
      <c r="C38">
        <v>299</v>
      </c>
      <c r="D38">
        <v>5211</v>
      </c>
      <c r="E38">
        <v>1</v>
      </c>
      <c r="F38">
        <v>202305</v>
      </c>
      <c r="G38">
        <v>11</v>
      </c>
      <c r="H38" t="s">
        <v>56</v>
      </c>
      <c r="I38" t="s">
        <v>45</v>
      </c>
      <c r="J38">
        <v>2</v>
      </c>
      <c r="K38">
        <f t="shared" ca="1" si="1"/>
        <v>88</v>
      </c>
      <c r="L38">
        <f t="shared" ca="1" si="2"/>
        <v>-54</v>
      </c>
      <c r="M38">
        <f t="shared" ca="1" si="3"/>
        <v>410</v>
      </c>
      <c r="N38">
        <f t="shared" ca="1" si="3"/>
        <v>74</v>
      </c>
      <c r="O38">
        <f t="shared" ca="1" si="0"/>
        <v>595</v>
      </c>
      <c r="P38">
        <f t="shared" ca="1" si="4"/>
        <v>443</v>
      </c>
      <c r="Q38">
        <f t="shared" ca="1" si="5"/>
        <v>130</v>
      </c>
      <c r="R38">
        <f t="shared" ca="1" si="6"/>
        <v>304</v>
      </c>
      <c r="S38">
        <f t="shared" ca="1" si="7"/>
        <v>5840</v>
      </c>
      <c r="T38">
        <f t="shared" ca="1" si="8"/>
        <v>4366</v>
      </c>
      <c r="U38">
        <f t="shared" ca="1" si="9"/>
        <v>1264</v>
      </c>
      <c r="V38">
        <v>0</v>
      </c>
      <c r="W38">
        <v>0</v>
      </c>
      <c r="X38">
        <f t="shared" ca="1" si="10"/>
        <v>-261</v>
      </c>
      <c r="Y38">
        <v>0</v>
      </c>
      <c r="Z38">
        <v>242</v>
      </c>
      <c r="AA38">
        <v>100</v>
      </c>
      <c r="AB38" t="s">
        <v>65</v>
      </c>
      <c r="AD38">
        <v>1</v>
      </c>
      <c r="AE38">
        <v>52</v>
      </c>
      <c r="AF38">
        <v>265</v>
      </c>
      <c r="AG38" t="s">
        <v>47</v>
      </c>
      <c r="AH38" t="s">
        <v>48</v>
      </c>
      <c r="AI38" t="s">
        <v>49</v>
      </c>
      <c r="AJ38" t="s">
        <v>50</v>
      </c>
      <c r="AK38" t="s">
        <v>51</v>
      </c>
      <c r="AL38">
        <v>3.6726999999999999</v>
      </c>
      <c r="AM38" t="s">
        <v>52</v>
      </c>
      <c r="AN38" t="s">
        <v>93</v>
      </c>
      <c r="AO38" t="s">
        <v>59</v>
      </c>
      <c r="AP38" t="s">
        <v>94</v>
      </c>
      <c r="AQ38" t="s">
        <v>55</v>
      </c>
    </row>
    <row r="39" spans="1:43" x14ac:dyDescent="0.3">
      <c r="A39" t="s">
        <v>43</v>
      </c>
      <c r="B39">
        <v>2020</v>
      </c>
      <c r="C39">
        <v>299</v>
      </c>
      <c r="D39">
        <v>5211</v>
      </c>
      <c r="E39">
        <v>3</v>
      </c>
      <c r="F39">
        <v>202305</v>
      </c>
      <c r="G39">
        <v>1</v>
      </c>
      <c r="H39" t="s">
        <v>95</v>
      </c>
      <c r="I39" t="s">
        <v>45</v>
      </c>
      <c r="J39">
        <v>2</v>
      </c>
      <c r="K39">
        <f t="shared" ca="1" si="1"/>
        <v>8</v>
      </c>
      <c r="L39">
        <f t="shared" ca="1" si="2"/>
        <v>-96</v>
      </c>
      <c r="M39">
        <f t="shared" ca="1" si="3"/>
        <v>364</v>
      </c>
      <c r="N39">
        <f t="shared" ca="1" si="3"/>
        <v>171</v>
      </c>
      <c r="O39">
        <f t="shared" ca="1" si="0"/>
        <v>352</v>
      </c>
      <c r="P39">
        <f t="shared" ca="1" si="4"/>
        <v>1285</v>
      </c>
      <c r="Q39">
        <f t="shared" ca="1" si="5"/>
        <v>39</v>
      </c>
      <c r="R39">
        <f t="shared" ca="1" si="6"/>
        <v>472</v>
      </c>
      <c r="S39">
        <f t="shared" ca="1" si="7"/>
        <v>3184</v>
      </c>
      <c r="T39">
        <f t="shared" ca="1" si="8"/>
        <v>4851</v>
      </c>
      <c r="U39">
        <f t="shared" ca="1" si="9"/>
        <v>1297</v>
      </c>
      <c r="V39">
        <v>0</v>
      </c>
      <c r="W39">
        <v>0</v>
      </c>
      <c r="X39">
        <f t="shared" ca="1" si="10"/>
        <v>-220</v>
      </c>
      <c r="Y39">
        <v>0</v>
      </c>
      <c r="Z39">
        <v>0</v>
      </c>
      <c r="AA39">
        <v>100</v>
      </c>
      <c r="AB39" t="s">
        <v>57</v>
      </c>
      <c r="AD39">
        <v>1</v>
      </c>
      <c r="AE39">
        <v>52</v>
      </c>
      <c r="AF39">
        <v>265</v>
      </c>
      <c r="AG39" t="s">
        <v>47</v>
      </c>
      <c r="AH39" t="s">
        <v>48</v>
      </c>
      <c r="AI39" t="s">
        <v>49</v>
      </c>
      <c r="AJ39" t="s">
        <v>50</v>
      </c>
      <c r="AK39" t="s">
        <v>51</v>
      </c>
      <c r="AL39">
        <v>3.6726999999999999</v>
      </c>
      <c r="AM39" t="s">
        <v>52</v>
      </c>
      <c r="AN39" t="s">
        <v>93</v>
      </c>
      <c r="AO39" t="s">
        <v>96</v>
      </c>
      <c r="AP39" t="s">
        <v>94</v>
      </c>
      <c r="AQ39" t="s">
        <v>55</v>
      </c>
    </row>
    <row r="40" spans="1:43" x14ac:dyDescent="0.3">
      <c r="A40" t="s">
        <v>43</v>
      </c>
      <c r="B40">
        <v>2020</v>
      </c>
      <c r="C40">
        <v>299</v>
      </c>
      <c r="D40">
        <v>5211</v>
      </c>
      <c r="E40">
        <v>3</v>
      </c>
      <c r="F40">
        <v>202305</v>
      </c>
      <c r="G40">
        <v>11</v>
      </c>
      <c r="H40" t="s">
        <v>95</v>
      </c>
      <c r="I40" t="s">
        <v>45</v>
      </c>
      <c r="J40">
        <v>2</v>
      </c>
      <c r="K40">
        <f t="shared" ca="1" si="1"/>
        <v>46</v>
      </c>
      <c r="L40">
        <f t="shared" ca="1" si="2"/>
        <v>0</v>
      </c>
      <c r="M40">
        <f t="shared" ca="1" si="3"/>
        <v>301</v>
      </c>
      <c r="N40">
        <f t="shared" ca="1" si="3"/>
        <v>185</v>
      </c>
      <c r="O40">
        <f t="shared" ca="1" si="0"/>
        <v>650</v>
      </c>
      <c r="P40">
        <f t="shared" ca="1" si="4"/>
        <v>1239</v>
      </c>
      <c r="Q40">
        <f t="shared" ca="1" si="5"/>
        <v>332</v>
      </c>
      <c r="R40">
        <f t="shared" ca="1" si="6"/>
        <v>424</v>
      </c>
      <c r="S40">
        <f t="shared" ca="1" si="7"/>
        <v>13458</v>
      </c>
      <c r="T40">
        <f t="shared" ca="1" si="8"/>
        <v>2105</v>
      </c>
      <c r="U40">
        <f t="shared" ca="1" si="9"/>
        <v>924</v>
      </c>
      <c r="V40">
        <v>0</v>
      </c>
      <c r="W40">
        <v>0</v>
      </c>
      <c r="X40">
        <f t="shared" ca="1" si="10"/>
        <v>-6</v>
      </c>
      <c r="Y40">
        <v>0</v>
      </c>
      <c r="Z40">
        <v>0</v>
      </c>
      <c r="AA40">
        <v>96</v>
      </c>
      <c r="AB40" t="s">
        <v>65</v>
      </c>
      <c r="AD40">
        <v>1</v>
      </c>
      <c r="AE40">
        <v>52</v>
      </c>
      <c r="AF40">
        <v>265</v>
      </c>
      <c r="AG40" t="s">
        <v>47</v>
      </c>
      <c r="AH40" t="s">
        <v>48</v>
      </c>
      <c r="AI40" t="s">
        <v>49</v>
      </c>
      <c r="AJ40" t="s">
        <v>50</v>
      </c>
      <c r="AK40" t="s">
        <v>51</v>
      </c>
      <c r="AL40">
        <v>3.6726999999999999</v>
      </c>
      <c r="AM40" t="s">
        <v>52</v>
      </c>
      <c r="AN40" t="s">
        <v>93</v>
      </c>
      <c r="AO40" t="s">
        <v>96</v>
      </c>
      <c r="AP40" t="s">
        <v>94</v>
      </c>
      <c r="AQ40" t="s">
        <v>55</v>
      </c>
    </row>
    <row r="41" spans="1:43" x14ac:dyDescent="0.3">
      <c r="A41" t="s">
        <v>43</v>
      </c>
      <c r="B41">
        <v>2020</v>
      </c>
      <c r="C41">
        <v>299</v>
      </c>
      <c r="D41">
        <v>5211</v>
      </c>
      <c r="E41">
        <v>7</v>
      </c>
      <c r="F41">
        <v>202305</v>
      </c>
      <c r="G41">
        <v>200018</v>
      </c>
      <c r="H41" t="s">
        <v>97</v>
      </c>
      <c r="I41" t="s">
        <v>45</v>
      </c>
      <c r="J41">
        <v>7</v>
      </c>
      <c r="K41">
        <f t="shared" ca="1" si="1"/>
        <v>34</v>
      </c>
      <c r="L41">
        <f t="shared" ca="1" si="2"/>
        <v>-53</v>
      </c>
      <c r="M41">
        <f t="shared" ca="1" si="3"/>
        <v>227</v>
      </c>
      <c r="N41">
        <f t="shared" ca="1" si="3"/>
        <v>445</v>
      </c>
      <c r="O41">
        <f t="shared" ca="1" si="0"/>
        <v>100</v>
      </c>
      <c r="P41">
        <f t="shared" ca="1" si="4"/>
        <v>1362</v>
      </c>
      <c r="Q41">
        <f t="shared" ca="1" si="5"/>
        <v>109</v>
      </c>
      <c r="R41">
        <f t="shared" ca="1" si="6"/>
        <v>493</v>
      </c>
      <c r="S41">
        <f t="shared" ca="1" si="7"/>
        <v>14751</v>
      </c>
      <c r="T41">
        <f t="shared" ca="1" si="8"/>
        <v>7041</v>
      </c>
      <c r="U41">
        <f t="shared" ca="1" si="9"/>
        <v>110</v>
      </c>
      <c r="V41">
        <v>0</v>
      </c>
      <c r="W41">
        <v>0</v>
      </c>
      <c r="X41">
        <f t="shared" ca="1" si="10"/>
        <v>-68</v>
      </c>
      <c r="Y41">
        <v>0</v>
      </c>
      <c r="Z41">
        <v>0</v>
      </c>
      <c r="AA41">
        <v>100</v>
      </c>
      <c r="AB41" t="s">
        <v>61</v>
      </c>
      <c r="AC41" t="s">
        <v>98</v>
      </c>
      <c r="AD41">
        <v>1</v>
      </c>
      <c r="AE41">
        <v>52</v>
      </c>
      <c r="AF41">
        <v>265</v>
      </c>
      <c r="AG41" t="s">
        <v>47</v>
      </c>
      <c r="AH41" t="s">
        <v>48</v>
      </c>
      <c r="AI41" t="s">
        <v>49</v>
      </c>
      <c r="AJ41" t="s">
        <v>50</v>
      </c>
      <c r="AK41" t="s">
        <v>51</v>
      </c>
      <c r="AL41">
        <v>3.6726999999999999</v>
      </c>
      <c r="AM41" t="s">
        <v>52</v>
      </c>
      <c r="AN41" t="s">
        <v>93</v>
      </c>
      <c r="AO41" t="s">
        <v>45</v>
      </c>
      <c r="AP41" t="s">
        <v>94</v>
      </c>
      <c r="AQ41" t="s">
        <v>55</v>
      </c>
    </row>
    <row r="42" spans="1:43" x14ac:dyDescent="0.3">
      <c r="A42" t="s">
        <v>43</v>
      </c>
      <c r="B42">
        <v>2020</v>
      </c>
      <c r="C42">
        <v>299</v>
      </c>
      <c r="D42">
        <v>5211</v>
      </c>
      <c r="E42">
        <v>7</v>
      </c>
      <c r="F42">
        <v>202305</v>
      </c>
      <c r="G42">
        <v>1100125</v>
      </c>
      <c r="H42" t="s">
        <v>97</v>
      </c>
      <c r="I42" t="s">
        <v>45</v>
      </c>
      <c r="J42">
        <v>7</v>
      </c>
      <c r="K42">
        <f t="shared" ca="1" si="1"/>
        <v>36</v>
      </c>
      <c r="L42">
        <f t="shared" ca="1" si="2"/>
        <v>-70</v>
      </c>
      <c r="M42">
        <f t="shared" ca="1" si="3"/>
        <v>205</v>
      </c>
      <c r="N42">
        <f t="shared" ca="1" si="3"/>
        <v>285</v>
      </c>
      <c r="O42">
        <f t="shared" ca="1" si="0"/>
        <v>770</v>
      </c>
      <c r="P42">
        <f t="shared" ca="1" si="4"/>
        <v>719</v>
      </c>
      <c r="Q42">
        <f t="shared" ca="1" si="5"/>
        <v>556</v>
      </c>
      <c r="R42">
        <f t="shared" ca="1" si="6"/>
        <v>419</v>
      </c>
      <c r="S42">
        <f t="shared" ca="1" si="7"/>
        <v>8244</v>
      </c>
      <c r="T42">
        <f t="shared" ca="1" si="8"/>
        <v>2723</v>
      </c>
      <c r="U42">
        <f t="shared" ca="1" si="9"/>
        <v>510</v>
      </c>
      <c r="V42">
        <v>0</v>
      </c>
      <c r="W42">
        <v>0</v>
      </c>
      <c r="X42">
        <f t="shared" ca="1" si="10"/>
        <v>-72</v>
      </c>
      <c r="Y42">
        <v>0</v>
      </c>
      <c r="Z42">
        <v>0</v>
      </c>
      <c r="AA42">
        <v>100</v>
      </c>
      <c r="AB42" t="s">
        <v>65</v>
      </c>
      <c r="AC42" t="s">
        <v>99</v>
      </c>
      <c r="AD42">
        <v>1</v>
      </c>
      <c r="AE42">
        <v>52</v>
      </c>
      <c r="AF42">
        <v>265</v>
      </c>
      <c r="AG42" t="s">
        <v>47</v>
      </c>
      <c r="AH42" t="s">
        <v>48</v>
      </c>
      <c r="AI42" t="s">
        <v>49</v>
      </c>
      <c r="AJ42" t="s">
        <v>50</v>
      </c>
      <c r="AK42" t="s">
        <v>51</v>
      </c>
      <c r="AL42">
        <v>3.6726999999999999</v>
      </c>
      <c r="AM42" t="s">
        <v>52</v>
      </c>
      <c r="AN42" t="s">
        <v>93</v>
      </c>
      <c r="AO42" t="s">
        <v>45</v>
      </c>
      <c r="AP42" t="s">
        <v>94</v>
      </c>
      <c r="AQ42" t="s">
        <v>55</v>
      </c>
    </row>
    <row r="43" spans="1:43" x14ac:dyDescent="0.3">
      <c r="A43" t="s">
        <v>43</v>
      </c>
      <c r="B43">
        <v>2020</v>
      </c>
      <c r="C43">
        <v>299</v>
      </c>
      <c r="D43">
        <v>5211</v>
      </c>
      <c r="E43">
        <v>7</v>
      </c>
      <c r="F43">
        <v>202305</v>
      </c>
      <c r="G43">
        <v>3100302</v>
      </c>
      <c r="H43" t="s">
        <v>97</v>
      </c>
      <c r="I43" t="s">
        <v>45</v>
      </c>
      <c r="J43">
        <v>7</v>
      </c>
      <c r="K43">
        <f t="shared" ca="1" si="1"/>
        <v>48</v>
      </c>
      <c r="L43">
        <f t="shared" ca="1" si="2"/>
        <v>79</v>
      </c>
      <c r="M43">
        <f t="shared" ca="1" si="3"/>
        <v>499</v>
      </c>
      <c r="N43">
        <f t="shared" ca="1" si="3"/>
        <v>496</v>
      </c>
      <c r="O43">
        <f t="shared" ca="1" si="0"/>
        <v>990</v>
      </c>
      <c r="P43">
        <f t="shared" ca="1" si="4"/>
        <v>-321</v>
      </c>
      <c r="Q43">
        <f t="shared" ca="1" si="5"/>
        <v>1022</v>
      </c>
      <c r="R43">
        <f t="shared" ca="1" si="6"/>
        <v>157</v>
      </c>
      <c r="S43">
        <f t="shared" ca="1" si="7"/>
        <v>845</v>
      </c>
      <c r="T43">
        <f t="shared" ca="1" si="8"/>
        <v>3029</v>
      </c>
      <c r="U43">
        <f t="shared" ca="1" si="9"/>
        <v>821</v>
      </c>
      <c r="V43">
        <v>0</v>
      </c>
      <c r="W43">
        <v>0</v>
      </c>
      <c r="X43">
        <f t="shared" ca="1" si="10"/>
        <v>-230</v>
      </c>
      <c r="Y43">
        <v>0</v>
      </c>
      <c r="Z43">
        <v>0</v>
      </c>
      <c r="AA43">
        <v>0</v>
      </c>
      <c r="AB43" t="s">
        <v>80</v>
      </c>
      <c r="AC43" t="s">
        <v>82</v>
      </c>
      <c r="AD43">
        <v>1</v>
      </c>
      <c r="AE43">
        <v>52</v>
      </c>
      <c r="AF43">
        <v>265</v>
      </c>
      <c r="AG43" t="s">
        <v>47</v>
      </c>
      <c r="AH43" t="s">
        <v>48</v>
      </c>
      <c r="AI43" t="s">
        <v>49</v>
      </c>
      <c r="AJ43" t="s">
        <v>50</v>
      </c>
      <c r="AK43" t="s">
        <v>51</v>
      </c>
      <c r="AL43">
        <v>3.6726999999999999</v>
      </c>
      <c r="AM43" t="s">
        <v>52</v>
      </c>
      <c r="AN43" t="s">
        <v>93</v>
      </c>
      <c r="AO43" t="s">
        <v>45</v>
      </c>
      <c r="AP43" t="s">
        <v>94</v>
      </c>
      <c r="AQ43" t="s">
        <v>55</v>
      </c>
    </row>
    <row r="44" spans="1:43" x14ac:dyDescent="0.3">
      <c r="A44" t="s">
        <v>43</v>
      </c>
      <c r="B44">
        <v>2020</v>
      </c>
      <c r="C44">
        <v>299</v>
      </c>
      <c r="D44">
        <v>5211</v>
      </c>
      <c r="E44">
        <v>7</v>
      </c>
      <c r="F44">
        <v>202305</v>
      </c>
      <c r="G44">
        <v>3100303</v>
      </c>
      <c r="H44" t="s">
        <v>97</v>
      </c>
      <c r="I44" t="s">
        <v>45</v>
      </c>
      <c r="J44">
        <v>7</v>
      </c>
      <c r="K44">
        <f t="shared" ca="1" si="1"/>
        <v>6</v>
      </c>
      <c r="L44">
        <f t="shared" ca="1" si="2"/>
        <v>54</v>
      </c>
      <c r="M44">
        <f t="shared" ca="1" si="3"/>
        <v>-83</v>
      </c>
      <c r="N44">
        <f t="shared" ca="1" si="3"/>
        <v>45</v>
      </c>
      <c r="O44">
        <f t="shared" ca="1" si="0"/>
        <v>336</v>
      </c>
      <c r="P44">
        <f t="shared" ca="1" si="4"/>
        <v>504</v>
      </c>
      <c r="Q44">
        <f t="shared" ca="1" si="5"/>
        <v>949</v>
      </c>
      <c r="R44">
        <f t="shared" ca="1" si="6"/>
        <v>-53</v>
      </c>
      <c r="S44">
        <f t="shared" ca="1" si="7"/>
        <v>2482</v>
      </c>
      <c r="T44">
        <f t="shared" ca="1" si="8"/>
        <v>8631</v>
      </c>
      <c r="U44">
        <f t="shared" ca="1" si="9"/>
        <v>948</v>
      </c>
      <c r="V44">
        <v>0</v>
      </c>
      <c r="W44">
        <v>0</v>
      </c>
      <c r="X44">
        <f t="shared" ca="1" si="10"/>
        <v>-485</v>
      </c>
      <c r="Y44">
        <v>0</v>
      </c>
      <c r="Z44">
        <v>0</v>
      </c>
      <c r="AA44">
        <v>100</v>
      </c>
      <c r="AB44" t="s">
        <v>80</v>
      </c>
      <c r="AC44" t="s">
        <v>83</v>
      </c>
      <c r="AD44">
        <v>1</v>
      </c>
      <c r="AE44">
        <v>52</v>
      </c>
      <c r="AF44">
        <v>265</v>
      </c>
      <c r="AG44" t="s">
        <v>47</v>
      </c>
      <c r="AH44" t="s">
        <v>48</v>
      </c>
      <c r="AI44" t="s">
        <v>49</v>
      </c>
      <c r="AJ44" t="s">
        <v>50</v>
      </c>
      <c r="AK44" t="s">
        <v>51</v>
      </c>
      <c r="AL44">
        <v>3.6726999999999999</v>
      </c>
      <c r="AM44" t="s">
        <v>52</v>
      </c>
      <c r="AN44" t="s">
        <v>93</v>
      </c>
      <c r="AO44" t="s">
        <v>45</v>
      </c>
      <c r="AP44" t="s">
        <v>94</v>
      </c>
      <c r="AQ44" t="s">
        <v>55</v>
      </c>
    </row>
    <row r="45" spans="1:43" x14ac:dyDescent="0.3">
      <c r="A45" t="s">
        <v>43</v>
      </c>
      <c r="B45">
        <v>2020</v>
      </c>
      <c r="C45">
        <v>299</v>
      </c>
      <c r="D45">
        <v>5211</v>
      </c>
      <c r="E45">
        <v>7</v>
      </c>
      <c r="F45">
        <v>202305</v>
      </c>
      <c r="G45">
        <v>3100410</v>
      </c>
      <c r="H45" t="s">
        <v>97</v>
      </c>
      <c r="I45" t="s">
        <v>45</v>
      </c>
      <c r="J45">
        <v>7</v>
      </c>
      <c r="K45">
        <f t="shared" ca="1" si="1"/>
        <v>22</v>
      </c>
      <c r="L45">
        <f t="shared" ca="1" si="2"/>
        <v>30</v>
      </c>
      <c r="M45">
        <f t="shared" ca="1" si="3"/>
        <v>52</v>
      </c>
      <c r="N45">
        <f t="shared" ca="1" si="3"/>
        <v>116</v>
      </c>
      <c r="O45">
        <f t="shared" ca="1" si="0"/>
        <v>771</v>
      </c>
      <c r="P45">
        <f t="shared" ca="1" si="4"/>
        <v>-110</v>
      </c>
      <c r="Q45">
        <f t="shared" ca="1" si="5"/>
        <v>587</v>
      </c>
      <c r="R45">
        <f t="shared" ca="1" si="6"/>
        <v>101</v>
      </c>
      <c r="S45">
        <f t="shared" ca="1" si="7"/>
        <v>3616</v>
      </c>
      <c r="T45">
        <f t="shared" ca="1" si="8"/>
        <v>9178</v>
      </c>
      <c r="U45">
        <f t="shared" ca="1" si="9"/>
        <v>353</v>
      </c>
      <c r="V45">
        <v>0</v>
      </c>
      <c r="W45">
        <v>0</v>
      </c>
      <c r="X45">
        <f t="shared" ca="1" si="10"/>
        <v>-303</v>
      </c>
      <c r="Y45">
        <v>0</v>
      </c>
      <c r="Z45">
        <v>0</v>
      </c>
      <c r="AA45">
        <v>69</v>
      </c>
      <c r="AB45" t="s">
        <v>80</v>
      </c>
      <c r="AC45" t="s">
        <v>100</v>
      </c>
      <c r="AD45">
        <v>1</v>
      </c>
      <c r="AE45">
        <v>52</v>
      </c>
      <c r="AF45">
        <v>265</v>
      </c>
      <c r="AG45" t="s">
        <v>47</v>
      </c>
      <c r="AH45" t="s">
        <v>48</v>
      </c>
      <c r="AI45" t="s">
        <v>49</v>
      </c>
      <c r="AJ45" t="s">
        <v>50</v>
      </c>
      <c r="AK45" t="s">
        <v>51</v>
      </c>
      <c r="AL45">
        <v>3.6726999999999999</v>
      </c>
      <c r="AM45" t="s">
        <v>52</v>
      </c>
      <c r="AN45" t="s">
        <v>93</v>
      </c>
      <c r="AO45" t="s">
        <v>45</v>
      </c>
      <c r="AP45" t="s">
        <v>94</v>
      </c>
      <c r="AQ45" t="s">
        <v>55</v>
      </c>
    </row>
    <row r="46" spans="1:43" x14ac:dyDescent="0.3">
      <c r="A46" t="s">
        <v>43</v>
      </c>
      <c r="B46">
        <v>2020</v>
      </c>
      <c r="C46">
        <v>299</v>
      </c>
      <c r="D46">
        <v>5211</v>
      </c>
      <c r="E46">
        <v>7</v>
      </c>
      <c r="F46">
        <v>202305</v>
      </c>
      <c r="G46">
        <v>3100411</v>
      </c>
      <c r="H46" t="s">
        <v>97</v>
      </c>
      <c r="I46" t="s">
        <v>45</v>
      </c>
      <c r="J46">
        <v>7</v>
      </c>
      <c r="K46">
        <f t="shared" ca="1" si="1"/>
        <v>42</v>
      </c>
      <c r="L46">
        <f t="shared" ca="1" si="2"/>
        <v>76</v>
      </c>
      <c r="M46">
        <f t="shared" ca="1" si="3"/>
        <v>220</v>
      </c>
      <c r="N46">
        <f t="shared" ca="1" si="3"/>
        <v>480</v>
      </c>
      <c r="O46">
        <f t="shared" ca="1" si="0"/>
        <v>845</v>
      </c>
      <c r="P46">
        <f t="shared" ca="1" si="4"/>
        <v>838</v>
      </c>
      <c r="Q46">
        <f t="shared" ca="1" si="5"/>
        <v>624</v>
      </c>
      <c r="R46">
        <f t="shared" ca="1" si="6"/>
        <v>482</v>
      </c>
      <c r="S46">
        <f t="shared" ca="1" si="7"/>
        <v>639</v>
      </c>
      <c r="T46">
        <f t="shared" ca="1" si="8"/>
        <v>113</v>
      </c>
      <c r="U46">
        <f t="shared" ca="1" si="9"/>
        <v>336</v>
      </c>
      <c r="V46">
        <v>0</v>
      </c>
      <c r="W46">
        <v>0</v>
      </c>
      <c r="X46">
        <f t="shared" ca="1" si="10"/>
        <v>-159</v>
      </c>
      <c r="Y46">
        <v>0</v>
      </c>
      <c r="Z46">
        <v>0</v>
      </c>
      <c r="AA46">
        <v>86</v>
      </c>
      <c r="AB46" t="s">
        <v>80</v>
      </c>
      <c r="AC46" t="s">
        <v>101</v>
      </c>
      <c r="AD46">
        <v>1</v>
      </c>
      <c r="AE46">
        <v>52</v>
      </c>
      <c r="AF46">
        <v>265</v>
      </c>
      <c r="AG46" t="s">
        <v>47</v>
      </c>
      <c r="AH46" t="s">
        <v>48</v>
      </c>
      <c r="AI46" t="s">
        <v>49</v>
      </c>
      <c r="AJ46" t="s">
        <v>50</v>
      </c>
      <c r="AK46" t="s">
        <v>51</v>
      </c>
      <c r="AL46">
        <v>3.6726999999999999</v>
      </c>
      <c r="AM46" t="s">
        <v>52</v>
      </c>
      <c r="AN46" t="s">
        <v>93</v>
      </c>
      <c r="AO46" t="s">
        <v>45</v>
      </c>
      <c r="AP46" t="s">
        <v>94</v>
      </c>
      <c r="AQ46" t="s">
        <v>55</v>
      </c>
    </row>
    <row r="47" spans="1:43" x14ac:dyDescent="0.3">
      <c r="A47" t="s">
        <v>43</v>
      </c>
      <c r="B47">
        <v>2020</v>
      </c>
      <c r="C47">
        <v>299</v>
      </c>
      <c r="D47">
        <v>5211</v>
      </c>
      <c r="E47">
        <v>8</v>
      </c>
      <c r="F47">
        <v>202305</v>
      </c>
      <c r="G47">
        <v>1</v>
      </c>
      <c r="H47" t="s">
        <v>102</v>
      </c>
      <c r="I47" t="s">
        <v>45</v>
      </c>
      <c r="J47">
        <v>2</v>
      </c>
      <c r="K47">
        <f t="shared" ca="1" si="1"/>
        <v>31</v>
      </c>
      <c r="L47">
        <f t="shared" ca="1" si="2"/>
        <v>13</v>
      </c>
      <c r="M47">
        <f t="shared" ca="1" si="3"/>
        <v>52</v>
      </c>
      <c r="N47">
        <f t="shared" ca="1" si="3"/>
        <v>385</v>
      </c>
      <c r="O47">
        <f t="shared" ca="1" si="0"/>
        <v>870</v>
      </c>
      <c r="P47">
        <f t="shared" ca="1" si="4"/>
        <v>158</v>
      </c>
      <c r="Q47">
        <f t="shared" ca="1" si="5"/>
        <v>820</v>
      </c>
      <c r="R47">
        <f t="shared" ca="1" si="6"/>
        <v>210</v>
      </c>
      <c r="S47">
        <f t="shared" ca="1" si="7"/>
        <v>3534</v>
      </c>
      <c r="T47">
        <f t="shared" ca="1" si="8"/>
        <v>2049</v>
      </c>
      <c r="U47">
        <f t="shared" ca="1" si="9"/>
        <v>323</v>
      </c>
      <c r="V47">
        <v>0</v>
      </c>
      <c r="W47">
        <v>0</v>
      </c>
      <c r="X47">
        <f t="shared" ca="1" si="10"/>
        <v>-111</v>
      </c>
      <c r="Y47">
        <v>0</v>
      </c>
      <c r="Z47">
        <v>0</v>
      </c>
      <c r="AA47">
        <v>30</v>
      </c>
      <c r="AB47" t="s">
        <v>57</v>
      </c>
      <c r="AD47">
        <v>1</v>
      </c>
      <c r="AE47">
        <v>52</v>
      </c>
      <c r="AF47">
        <v>265</v>
      </c>
      <c r="AG47" t="s">
        <v>47</v>
      </c>
      <c r="AH47" t="s">
        <v>48</v>
      </c>
      <c r="AI47" t="s">
        <v>49</v>
      </c>
      <c r="AJ47" t="s">
        <v>50</v>
      </c>
      <c r="AK47" t="s">
        <v>51</v>
      </c>
      <c r="AL47">
        <v>3.6726999999999999</v>
      </c>
      <c r="AM47" t="s">
        <v>52</v>
      </c>
      <c r="AN47" t="s">
        <v>93</v>
      </c>
      <c r="AO47" t="s">
        <v>103</v>
      </c>
      <c r="AP47" t="s">
        <v>94</v>
      </c>
      <c r="AQ47" t="s">
        <v>55</v>
      </c>
    </row>
    <row r="48" spans="1:43" x14ac:dyDescent="0.3">
      <c r="A48" t="s">
        <v>43</v>
      </c>
      <c r="B48">
        <v>2020</v>
      </c>
      <c r="C48">
        <v>299</v>
      </c>
      <c r="D48">
        <v>5211</v>
      </c>
      <c r="E48">
        <v>8</v>
      </c>
      <c r="F48">
        <v>202305</v>
      </c>
      <c r="G48">
        <v>2</v>
      </c>
      <c r="H48" t="s">
        <v>102</v>
      </c>
      <c r="I48" t="s">
        <v>45</v>
      </c>
      <c r="J48">
        <v>2</v>
      </c>
      <c r="K48">
        <f t="shared" ca="1" si="1"/>
        <v>92</v>
      </c>
      <c r="L48">
        <f t="shared" ca="1" si="2"/>
        <v>-39</v>
      </c>
      <c r="M48">
        <f t="shared" ca="1" si="3"/>
        <v>272</v>
      </c>
      <c r="N48">
        <f t="shared" ca="1" si="3"/>
        <v>28</v>
      </c>
      <c r="O48">
        <f t="shared" ca="1" si="0"/>
        <v>-22</v>
      </c>
      <c r="P48">
        <f t="shared" ca="1" si="4"/>
        <v>-5</v>
      </c>
      <c r="Q48">
        <f t="shared" ca="1" si="5"/>
        <v>997</v>
      </c>
      <c r="R48">
        <f t="shared" ca="1" si="6"/>
        <v>104</v>
      </c>
      <c r="S48">
        <f t="shared" ca="1" si="7"/>
        <v>1897</v>
      </c>
      <c r="T48">
        <f t="shared" ca="1" si="8"/>
        <v>2208</v>
      </c>
      <c r="U48">
        <f t="shared" ca="1" si="9"/>
        <v>438</v>
      </c>
      <c r="V48">
        <v>0</v>
      </c>
      <c r="W48">
        <v>0</v>
      </c>
      <c r="X48">
        <f t="shared" ca="1" si="10"/>
        <v>85</v>
      </c>
      <c r="Y48">
        <v>0</v>
      </c>
      <c r="Z48">
        <v>0</v>
      </c>
      <c r="AA48">
        <v>0</v>
      </c>
      <c r="AB48" t="s">
        <v>61</v>
      </c>
      <c r="AD48">
        <v>1</v>
      </c>
      <c r="AE48">
        <v>52</v>
      </c>
      <c r="AF48">
        <v>265</v>
      </c>
      <c r="AG48" t="s">
        <v>47</v>
      </c>
      <c r="AH48" t="s">
        <v>48</v>
      </c>
      <c r="AI48" t="s">
        <v>49</v>
      </c>
      <c r="AJ48" t="s">
        <v>50</v>
      </c>
      <c r="AK48" t="s">
        <v>51</v>
      </c>
      <c r="AL48">
        <v>3.6726999999999999</v>
      </c>
      <c r="AM48" t="s">
        <v>52</v>
      </c>
      <c r="AN48" t="s">
        <v>93</v>
      </c>
      <c r="AO48" t="s">
        <v>103</v>
      </c>
      <c r="AP48" t="s">
        <v>94</v>
      </c>
      <c r="AQ48" t="s">
        <v>55</v>
      </c>
    </row>
    <row r="49" spans="1:43" x14ac:dyDescent="0.3">
      <c r="A49" t="s">
        <v>43</v>
      </c>
      <c r="B49">
        <v>2020</v>
      </c>
      <c r="C49">
        <v>299</v>
      </c>
      <c r="D49">
        <v>5211</v>
      </c>
      <c r="E49">
        <v>8</v>
      </c>
      <c r="F49">
        <v>202305</v>
      </c>
      <c r="G49">
        <v>4</v>
      </c>
      <c r="H49" t="s">
        <v>102</v>
      </c>
      <c r="I49" t="s">
        <v>45</v>
      </c>
      <c r="J49">
        <v>2</v>
      </c>
      <c r="K49">
        <f t="shared" ca="1" si="1"/>
        <v>45</v>
      </c>
      <c r="L49">
        <f t="shared" ca="1" si="2"/>
        <v>-49</v>
      </c>
      <c r="M49">
        <f t="shared" ca="1" si="3"/>
        <v>164</v>
      </c>
      <c r="N49">
        <f t="shared" ca="1" si="3"/>
        <v>455</v>
      </c>
      <c r="O49">
        <f t="shared" ca="1" si="0"/>
        <v>591</v>
      </c>
      <c r="P49">
        <f t="shared" ca="1" si="4"/>
        <v>-31</v>
      </c>
      <c r="Q49">
        <f t="shared" ca="1" si="5"/>
        <v>1151</v>
      </c>
      <c r="R49">
        <f t="shared" ca="1" si="6"/>
        <v>463</v>
      </c>
      <c r="S49">
        <f t="shared" ca="1" si="7"/>
        <v>2883</v>
      </c>
      <c r="T49">
        <f t="shared" ca="1" si="8"/>
        <v>6515</v>
      </c>
      <c r="U49">
        <f t="shared" ca="1" si="9"/>
        <v>1114</v>
      </c>
      <c r="V49">
        <v>0</v>
      </c>
      <c r="W49">
        <v>0</v>
      </c>
      <c r="X49">
        <f t="shared" ca="1" si="10"/>
        <v>-415</v>
      </c>
      <c r="Y49">
        <v>0</v>
      </c>
      <c r="Z49">
        <v>0</v>
      </c>
      <c r="AA49">
        <v>100</v>
      </c>
      <c r="AB49" t="s">
        <v>63</v>
      </c>
      <c r="AD49">
        <v>1</v>
      </c>
      <c r="AE49">
        <v>52</v>
      </c>
      <c r="AF49">
        <v>265</v>
      </c>
      <c r="AG49" t="s">
        <v>47</v>
      </c>
      <c r="AH49" t="s">
        <v>48</v>
      </c>
      <c r="AI49" t="s">
        <v>49</v>
      </c>
      <c r="AJ49" t="s">
        <v>50</v>
      </c>
      <c r="AK49" t="s">
        <v>51</v>
      </c>
      <c r="AL49">
        <v>3.6726999999999999</v>
      </c>
      <c r="AM49" t="s">
        <v>52</v>
      </c>
      <c r="AN49" t="s">
        <v>93</v>
      </c>
      <c r="AO49" t="s">
        <v>103</v>
      </c>
      <c r="AP49" t="s">
        <v>94</v>
      </c>
      <c r="AQ49" t="s">
        <v>55</v>
      </c>
    </row>
    <row r="50" spans="1:43" x14ac:dyDescent="0.3">
      <c r="A50" t="s">
        <v>43</v>
      </c>
      <c r="B50">
        <v>2020</v>
      </c>
      <c r="C50">
        <v>299</v>
      </c>
      <c r="D50">
        <v>5211</v>
      </c>
      <c r="E50">
        <v>9</v>
      </c>
      <c r="F50">
        <v>202305</v>
      </c>
      <c r="G50">
        <v>1</v>
      </c>
      <c r="H50" t="s">
        <v>77</v>
      </c>
      <c r="I50" t="s">
        <v>45</v>
      </c>
      <c r="J50">
        <v>2</v>
      </c>
      <c r="K50">
        <f t="shared" ca="1" si="1"/>
        <v>50</v>
      </c>
      <c r="L50">
        <f t="shared" ca="1" si="2"/>
        <v>-22</v>
      </c>
      <c r="M50">
        <f t="shared" ca="1" si="3"/>
        <v>19</v>
      </c>
      <c r="N50">
        <f t="shared" ca="1" si="3"/>
        <v>-71</v>
      </c>
      <c r="O50">
        <f t="shared" ca="1" si="0"/>
        <v>263</v>
      </c>
      <c r="P50">
        <f t="shared" ca="1" si="4"/>
        <v>928</v>
      </c>
      <c r="Q50">
        <f t="shared" ca="1" si="5"/>
        <v>651</v>
      </c>
      <c r="R50">
        <f t="shared" ca="1" si="6"/>
        <v>-56</v>
      </c>
      <c r="S50">
        <f t="shared" ca="1" si="7"/>
        <v>5576</v>
      </c>
      <c r="T50">
        <f t="shared" ca="1" si="8"/>
        <v>9843</v>
      </c>
      <c r="U50">
        <f t="shared" ca="1" si="9"/>
        <v>954</v>
      </c>
      <c r="V50">
        <v>0</v>
      </c>
      <c r="W50">
        <v>0</v>
      </c>
      <c r="X50">
        <f t="shared" ca="1" si="10"/>
        <v>-260</v>
      </c>
      <c r="Y50">
        <v>0</v>
      </c>
      <c r="Z50">
        <v>0</v>
      </c>
      <c r="AA50">
        <v>100</v>
      </c>
      <c r="AB50" t="s">
        <v>57</v>
      </c>
      <c r="AD50">
        <v>1</v>
      </c>
      <c r="AE50">
        <v>52</v>
      </c>
      <c r="AF50">
        <v>265</v>
      </c>
      <c r="AG50" t="s">
        <v>47</v>
      </c>
      <c r="AH50" t="s">
        <v>48</v>
      </c>
      <c r="AI50" t="s">
        <v>49</v>
      </c>
      <c r="AJ50" t="s">
        <v>50</v>
      </c>
      <c r="AK50" t="s">
        <v>51</v>
      </c>
      <c r="AL50">
        <v>3.6726999999999999</v>
      </c>
      <c r="AM50" t="s">
        <v>52</v>
      </c>
      <c r="AN50" t="s">
        <v>93</v>
      </c>
      <c r="AO50" t="s">
        <v>78</v>
      </c>
      <c r="AP50" t="s">
        <v>94</v>
      </c>
      <c r="AQ50" t="s">
        <v>55</v>
      </c>
    </row>
    <row r="51" spans="1:43" x14ac:dyDescent="0.3">
      <c r="A51" t="s">
        <v>43</v>
      </c>
      <c r="B51">
        <v>2020</v>
      </c>
      <c r="C51">
        <v>299</v>
      </c>
      <c r="D51">
        <v>5211</v>
      </c>
      <c r="E51">
        <v>9</v>
      </c>
      <c r="F51">
        <v>202305</v>
      </c>
      <c r="G51">
        <v>2</v>
      </c>
      <c r="H51" t="s">
        <v>77</v>
      </c>
      <c r="I51" t="s">
        <v>45</v>
      </c>
      <c r="J51">
        <v>2</v>
      </c>
      <c r="K51">
        <f t="shared" ca="1" si="1"/>
        <v>97</v>
      </c>
      <c r="L51">
        <f t="shared" ca="1" si="2"/>
        <v>93</v>
      </c>
      <c r="M51">
        <f t="shared" ca="1" si="3"/>
        <v>217</v>
      </c>
      <c r="N51">
        <f t="shared" ca="1" si="3"/>
        <v>87</v>
      </c>
      <c r="O51">
        <f t="shared" ca="1" si="0"/>
        <v>868</v>
      </c>
      <c r="P51">
        <f t="shared" ca="1" si="4"/>
        <v>-174</v>
      </c>
      <c r="Q51">
        <f t="shared" ca="1" si="5"/>
        <v>207</v>
      </c>
      <c r="R51">
        <f t="shared" ca="1" si="6"/>
        <v>105</v>
      </c>
      <c r="S51">
        <f t="shared" ca="1" si="7"/>
        <v>2314</v>
      </c>
      <c r="T51">
        <f t="shared" ca="1" si="8"/>
        <v>8209</v>
      </c>
      <c r="U51">
        <f t="shared" ca="1" si="9"/>
        <v>1141</v>
      </c>
      <c r="V51">
        <v>0</v>
      </c>
      <c r="W51">
        <v>0</v>
      </c>
      <c r="X51">
        <f t="shared" ca="1" si="10"/>
        <v>-54</v>
      </c>
      <c r="Y51">
        <v>0</v>
      </c>
      <c r="Z51">
        <v>0</v>
      </c>
      <c r="AA51">
        <v>100</v>
      </c>
      <c r="AB51" t="s">
        <v>61</v>
      </c>
      <c r="AD51">
        <v>1</v>
      </c>
      <c r="AE51">
        <v>52</v>
      </c>
      <c r="AF51">
        <v>265</v>
      </c>
      <c r="AG51" t="s">
        <v>47</v>
      </c>
      <c r="AH51" t="s">
        <v>48</v>
      </c>
      <c r="AI51" t="s">
        <v>49</v>
      </c>
      <c r="AJ51" t="s">
        <v>50</v>
      </c>
      <c r="AK51" t="s">
        <v>51</v>
      </c>
      <c r="AL51">
        <v>3.6726999999999999</v>
      </c>
      <c r="AM51" t="s">
        <v>52</v>
      </c>
      <c r="AN51" t="s">
        <v>93</v>
      </c>
      <c r="AO51" t="s">
        <v>78</v>
      </c>
      <c r="AP51" t="s">
        <v>94</v>
      </c>
      <c r="AQ51" t="s">
        <v>55</v>
      </c>
    </row>
    <row r="52" spans="1:43" x14ac:dyDescent="0.3">
      <c r="A52" t="s">
        <v>43</v>
      </c>
      <c r="B52">
        <v>2020</v>
      </c>
      <c r="C52">
        <v>299</v>
      </c>
      <c r="D52">
        <v>5211</v>
      </c>
      <c r="E52">
        <v>9</v>
      </c>
      <c r="F52">
        <v>202305</v>
      </c>
      <c r="G52">
        <v>3</v>
      </c>
      <c r="H52" t="s">
        <v>77</v>
      </c>
      <c r="I52" t="s">
        <v>45</v>
      </c>
      <c r="J52">
        <v>2</v>
      </c>
      <c r="K52">
        <f t="shared" ca="1" si="1"/>
        <v>78</v>
      </c>
      <c r="L52">
        <f t="shared" ca="1" si="2"/>
        <v>-65</v>
      </c>
      <c r="M52">
        <f t="shared" ca="1" si="3"/>
        <v>356</v>
      </c>
      <c r="N52">
        <f t="shared" ca="1" si="3"/>
        <v>45</v>
      </c>
      <c r="O52">
        <f t="shared" ca="1" si="0"/>
        <v>83</v>
      </c>
      <c r="P52">
        <f t="shared" ca="1" si="4"/>
        <v>-41</v>
      </c>
      <c r="Q52">
        <f t="shared" ca="1" si="5"/>
        <v>756</v>
      </c>
      <c r="R52">
        <f t="shared" ca="1" si="6"/>
        <v>273</v>
      </c>
      <c r="S52">
        <f t="shared" ca="1" si="7"/>
        <v>5275</v>
      </c>
      <c r="T52">
        <f t="shared" ca="1" si="8"/>
        <v>3724</v>
      </c>
      <c r="U52">
        <f t="shared" ca="1" si="9"/>
        <v>533</v>
      </c>
      <c r="V52">
        <v>0</v>
      </c>
      <c r="W52">
        <v>0</v>
      </c>
      <c r="X52">
        <f t="shared" ca="1" si="10"/>
        <v>-344</v>
      </c>
      <c r="Y52">
        <v>0</v>
      </c>
      <c r="Z52">
        <v>0</v>
      </c>
      <c r="AA52">
        <v>100</v>
      </c>
      <c r="AB52" t="s">
        <v>62</v>
      </c>
      <c r="AD52">
        <v>1</v>
      </c>
      <c r="AE52">
        <v>52</v>
      </c>
      <c r="AF52">
        <v>265</v>
      </c>
      <c r="AG52" t="s">
        <v>47</v>
      </c>
      <c r="AH52" t="s">
        <v>48</v>
      </c>
      <c r="AI52" t="s">
        <v>49</v>
      </c>
      <c r="AJ52" t="s">
        <v>50</v>
      </c>
      <c r="AK52" t="s">
        <v>51</v>
      </c>
      <c r="AL52">
        <v>3.6726999999999999</v>
      </c>
      <c r="AM52" t="s">
        <v>52</v>
      </c>
      <c r="AN52" t="s">
        <v>93</v>
      </c>
      <c r="AO52" t="s">
        <v>78</v>
      </c>
      <c r="AP52" t="s">
        <v>94</v>
      </c>
      <c r="AQ52" t="s">
        <v>55</v>
      </c>
    </row>
    <row r="53" spans="1:43" x14ac:dyDescent="0.3">
      <c r="A53" t="s">
        <v>43</v>
      </c>
      <c r="B53">
        <v>2020</v>
      </c>
      <c r="C53">
        <v>299</v>
      </c>
      <c r="D53">
        <v>5211</v>
      </c>
      <c r="E53">
        <v>9</v>
      </c>
      <c r="F53">
        <v>202305</v>
      </c>
      <c r="G53">
        <v>11</v>
      </c>
      <c r="H53" t="s">
        <v>77</v>
      </c>
      <c r="I53" t="s">
        <v>45</v>
      </c>
      <c r="J53">
        <v>2</v>
      </c>
      <c r="K53">
        <f t="shared" ca="1" si="1"/>
        <v>44</v>
      </c>
      <c r="L53">
        <f t="shared" ca="1" si="2"/>
        <v>84</v>
      </c>
      <c r="M53">
        <f t="shared" ca="1" si="3"/>
        <v>262</v>
      </c>
      <c r="N53">
        <f t="shared" ca="1" si="3"/>
        <v>83</v>
      </c>
      <c r="O53">
        <f t="shared" ca="1" si="0"/>
        <v>-30</v>
      </c>
      <c r="P53">
        <f t="shared" ca="1" si="4"/>
        <v>-336</v>
      </c>
      <c r="Q53">
        <f t="shared" ca="1" si="5"/>
        <v>282</v>
      </c>
      <c r="R53">
        <f t="shared" ca="1" si="6"/>
        <v>189</v>
      </c>
      <c r="S53">
        <f t="shared" ca="1" si="7"/>
        <v>3227</v>
      </c>
      <c r="T53">
        <f t="shared" ca="1" si="8"/>
        <v>3190</v>
      </c>
      <c r="U53">
        <f t="shared" ca="1" si="9"/>
        <v>550</v>
      </c>
      <c r="V53">
        <v>0</v>
      </c>
      <c r="W53">
        <v>0</v>
      </c>
      <c r="X53">
        <f t="shared" ca="1" si="10"/>
        <v>-472</v>
      </c>
      <c r="Y53">
        <v>0</v>
      </c>
      <c r="Z53">
        <v>0</v>
      </c>
      <c r="AA53">
        <v>100</v>
      </c>
      <c r="AB53" t="s">
        <v>65</v>
      </c>
      <c r="AD53">
        <v>1</v>
      </c>
      <c r="AE53">
        <v>52</v>
      </c>
      <c r="AF53">
        <v>265</v>
      </c>
      <c r="AG53" t="s">
        <v>47</v>
      </c>
      <c r="AH53" t="s">
        <v>48</v>
      </c>
      <c r="AI53" t="s">
        <v>49</v>
      </c>
      <c r="AJ53" t="s">
        <v>50</v>
      </c>
      <c r="AK53" t="s">
        <v>51</v>
      </c>
      <c r="AL53">
        <v>3.6726999999999999</v>
      </c>
      <c r="AM53" t="s">
        <v>52</v>
      </c>
      <c r="AN53" t="s">
        <v>93</v>
      </c>
      <c r="AO53" t="s">
        <v>78</v>
      </c>
      <c r="AP53" t="s">
        <v>94</v>
      </c>
      <c r="AQ53" t="s">
        <v>55</v>
      </c>
    </row>
    <row r="54" spans="1:43" x14ac:dyDescent="0.3">
      <c r="A54" t="s">
        <v>43</v>
      </c>
      <c r="B54">
        <v>2020</v>
      </c>
      <c r="C54">
        <v>299</v>
      </c>
      <c r="D54">
        <v>5211</v>
      </c>
      <c r="E54">
        <v>9</v>
      </c>
      <c r="F54">
        <v>202305</v>
      </c>
      <c r="G54">
        <v>31</v>
      </c>
      <c r="H54" t="s">
        <v>77</v>
      </c>
      <c r="I54" t="s">
        <v>45</v>
      </c>
      <c r="J54">
        <v>2</v>
      </c>
      <c r="K54">
        <f t="shared" ca="1" si="1"/>
        <v>3</v>
      </c>
      <c r="L54">
        <f t="shared" ca="1" si="2"/>
        <v>10</v>
      </c>
      <c r="M54">
        <f t="shared" ca="1" si="3"/>
        <v>163</v>
      </c>
      <c r="N54">
        <f t="shared" ca="1" si="3"/>
        <v>459</v>
      </c>
      <c r="O54">
        <f t="shared" ca="1" si="0"/>
        <v>778</v>
      </c>
      <c r="P54">
        <f t="shared" ca="1" si="4"/>
        <v>483</v>
      </c>
      <c r="Q54">
        <f t="shared" ca="1" si="5"/>
        <v>651</v>
      </c>
      <c r="R54">
        <f t="shared" ca="1" si="6"/>
        <v>236</v>
      </c>
      <c r="S54">
        <f t="shared" ca="1" si="7"/>
        <v>7133</v>
      </c>
      <c r="T54">
        <f t="shared" ca="1" si="8"/>
        <v>437</v>
      </c>
      <c r="U54">
        <f t="shared" ca="1" si="9"/>
        <v>-7</v>
      </c>
      <c r="V54">
        <v>0</v>
      </c>
      <c r="W54">
        <v>0</v>
      </c>
      <c r="X54">
        <f t="shared" ca="1" si="10"/>
        <v>-94</v>
      </c>
      <c r="Y54">
        <v>0</v>
      </c>
      <c r="Z54">
        <v>0</v>
      </c>
      <c r="AA54">
        <v>100</v>
      </c>
      <c r="AB54" t="s">
        <v>80</v>
      </c>
      <c r="AD54">
        <v>1</v>
      </c>
      <c r="AE54">
        <v>52</v>
      </c>
      <c r="AF54">
        <v>265</v>
      </c>
      <c r="AG54" t="s">
        <v>47</v>
      </c>
      <c r="AH54" t="s">
        <v>48</v>
      </c>
      <c r="AI54" t="s">
        <v>49</v>
      </c>
      <c r="AJ54" t="s">
        <v>50</v>
      </c>
      <c r="AK54" t="s">
        <v>51</v>
      </c>
      <c r="AL54">
        <v>3.6726999999999999</v>
      </c>
      <c r="AM54" t="s">
        <v>52</v>
      </c>
      <c r="AN54" t="s">
        <v>93</v>
      </c>
      <c r="AO54" t="s">
        <v>78</v>
      </c>
      <c r="AP54" t="s">
        <v>94</v>
      </c>
      <c r="AQ54" t="s">
        <v>55</v>
      </c>
    </row>
    <row r="55" spans="1:43" x14ac:dyDescent="0.3">
      <c r="A55" t="s">
        <v>43</v>
      </c>
      <c r="B55">
        <v>2020</v>
      </c>
      <c r="C55">
        <v>299</v>
      </c>
      <c r="D55">
        <v>5211</v>
      </c>
      <c r="E55">
        <v>15</v>
      </c>
      <c r="F55">
        <v>202305</v>
      </c>
      <c r="G55">
        <v>100001</v>
      </c>
      <c r="H55" t="s">
        <v>104</v>
      </c>
      <c r="I55" t="s">
        <v>45</v>
      </c>
      <c r="J55">
        <v>7</v>
      </c>
      <c r="K55">
        <f t="shared" ca="1" si="1"/>
        <v>14</v>
      </c>
      <c r="L55">
        <f t="shared" ca="1" si="2"/>
        <v>11</v>
      </c>
      <c r="M55">
        <f t="shared" ca="1" si="3"/>
        <v>431</v>
      </c>
      <c r="N55">
        <f t="shared" ca="1" si="3"/>
        <v>475</v>
      </c>
      <c r="O55">
        <f t="shared" ca="1" si="0"/>
        <v>86</v>
      </c>
      <c r="P55">
        <f t="shared" ca="1" si="4"/>
        <v>646</v>
      </c>
      <c r="Q55">
        <f t="shared" ca="1" si="5"/>
        <v>323</v>
      </c>
      <c r="R55">
        <f t="shared" ca="1" si="6"/>
        <v>261</v>
      </c>
      <c r="S55">
        <f t="shared" ca="1" si="7"/>
        <v>11518</v>
      </c>
      <c r="T55">
        <f t="shared" ca="1" si="8"/>
        <v>6778</v>
      </c>
      <c r="U55">
        <f t="shared" ca="1" si="9"/>
        <v>781</v>
      </c>
      <c r="V55">
        <v>0</v>
      </c>
      <c r="W55">
        <v>0</v>
      </c>
      <c r="X55">
        <f t="shared" ca="1" si="10"/>
        <v>-490</v>
      </c>
      <c r="Y55">
        <v>0</v>
      </c>
      <c r="Z55">
        <v>0</v>
      </c>
      <c r="AA55">
        <v>100</v>
      </c>
      <c r="AB55" t="s">
        <v>57</v>
      </c>
      <c r="AC55" t="s">
        <v>67</v>
      </c>
      <c r="AD55">
        <v>1</v>
      </c>
      <c r="AE55">
        <v>52</v>
      </c>
      <c r="AF55">
        <v>265</v>
      </c>
      <c r="AG55" t="s">
        <v>47</v>
      </c>
      <c r="AH55" t="s">
        <v>48</v>
      </c>
      <c r="AI55" t="s">
        <v>49</v>
      </c>
      <c r="AJ55" t="s">
        <v>50</v>
      </c>
      <c r="AK55" t="s">
        <v>51</v>
      </c>
      <c r="AL55">
        <v>3.6726999999999999</v>
      </c>
      <c r="AM55" t="s">
        <v>52</v>
      </c>
      <c r="AN55" t="s">
        <v>93</v>
      </c>
      <c r="AO55" t="s">
        <v>54</v>
      </c>
      <c r="AP55" t="s">
        <v>94</v>
      </c>
      <c r="AQ55" t="s">
        <v>55</v>
      </c>
    </row>
    <row r="56" spans="1:43" x14ac:dyDescent="0.3">
      <c r="A56" t="s">
        <v>43</v>
      </c>
      <c r="B56">
        <v>2020</v>
      </c>
      <c r="C56">
        <v>299</v>
      </c>
      <c r="D56">
        <v>5211</v>
      </c>
      <c r="E56">
        <v>15</v>
      </c>
      <c r="F56">
        <v>202305</v>
      </c>
      <c r="G56">
        <v>100004</v>
      </c>
      <c r="H56" t="s">
        <v>104</v>
      </c>
      <c r="I56" t="s">
        <v>45</v>
      </c>
      <c r="J56">
        <v>7</v>
      </c>
      <c r="K56">
        <f t="shared" ca="1" si="1"/>
        <v>19</v>
      </c>
      <c r="L56">
        <f t="shared" ca="1" si="2"/>
        <v>99</v>
      </c>
      <c r="M56">
        <f t="shared" ca="1" si="3"/>
        <v>339</v>
      </c>
      <c r="N56">
        <f t="shared" ca="1" si="3"/>
        <v>252</v>
      </c>
      <c r="O56">
        <f t="shared" ca="1" si="0"/>
        <v>541</v>
      </c>
      <c r="P56">
        <f t="shared" ca="1" si="4"/>
        <v>1469</v>
      </c>
      <c r="Q56">
        <f t="shared" ca="1" si="5"/>
        <v>42</v>
      </c>
      <c r="R56">
        <f t="shared" ca="1" si="6"/>
        <v>406</v>
      </c>
      <c r="S56">
        <f t="shared" ca="1" si="7"/>
        <v>8986</v>
      </c>
      <c r="T56">
        <f t="shared" ca="1" si="8"/>
        <v>7704</v>
      </c>
      <c r="U56">
        <f t="shared" ca="1" si="9"/>
        <v>1278</v>
      </c>
      <c r="V56">
        <v>0</v>
      </c>
      <c r="W56">
        <v>0</v>
      </c>
      <c r="X56">
        <f t="shared" ca="1" si="10"/>
        <v>87</v>
      </c>
      <c r="Y56">
        <v>0</v>
      </c>
      <c r="Z56">
        <v>0</v>
      </c>
      <c r="AA56">
        <v>100</v>
      </c>
      <c r="AB56" t="s">
        <v>57</v>
      </c>
      <c r="AC56" t="s">
        <v>70</v>
      </c>
      <c r="AD56">
        <v>1</v>
      </c>
      <c r="AE56">
        <v>52</v>
      </c>
      <c r="AF56">
        <v>265</v>
      </c>
      <c r="AG56" t="s">
        <v>47</v>
      </c>
      <c r="AH56" t="s">
        <v>48</v>
      </c>
      <c r="AI56" t="s">
        <v>49</v>
      </c>
      <c r="AJ56" t="s">
        <v>50</v>
      </c>
      <c r="AK56" t="s">
        <v>51</v>
      </c>
      <c r="AL56">
        <v>3.6726999999999999</v>
      </c>
      <c r="AM56" t="s">
        <v>52</v>
      </c>
      <c r="AN56" t="s">
        <v>93</v>
      </c>
      <c r="AO56" t="s">
        <v>54</v>
      </c>
      <c r="AP56" t="s">
        <v>94</v>
      </c>
      <c r="AQ56" t="s">
        <v>55</v>
      </c>
    </row>
    <row r="57" spans="1:43" x14ac:dyDescent="0.3">
      <c r="A57" t="s">
        <v>43</v>
      </c>
      <c r="B57">
        <v>2020</v>
      </c>
      <c r="C57">
        <v>299</v>
      </c>
      <c r="D57">
        <v>5211</v>
      </c>
      <c r="E57">
        <v>15</v>
      </c>
      <c r="F57">
        <v>202305</v>
      </c>
      <c r="G57">
        <v>200019</v>
      </c>
      <c r="H57" t="s">
        <v>104</v>
      </c>
      <c r="I57" t="s">
        <v>45</v>
      </c>
      <c r="J57">
        <v>7</v>
      </c>
      <c r="K57">
        <f t="shared" ca="1" si="1"/>
        <v>51</v>
      </c>
      <c r="L57">
        <f t="shared" ca="1" si="2"/>
        <v>-23</v>
      </c>
      <c r="M57">
        <f t="shared" ca="1" si="3"/>
        <v>274</v>
      </c>
      <c r="N57">
        <f t="shared" ca="1" si="3"/>
        <v>326</v>
      </c>
      <c r="O57">
        <f t="shared" ca="1" si="0"/>
        <v>379</v>
      </c>
      <c r="P57">
        <f t="shared" ca="1" si="4"/>
        <v>765</v>
      </c>
      <c r="Q57">
        <f t="shared" ca="1" si="5"/>
        <v>397</v>
      </c>
      <c r="R57">
        <f t="shared" ca="1" si="6"/>
        <v>10</v>
      </c>
      <c r="S57">
        <f t="shared" ca="1" si="7"/>
        <v>3946</v>
      </c>
      <c r="T57">
        <f t="shared" ca="1" si="8"/>
        <v>7602</v>
      </c>
      <c r="U57">
        <f t="shared" ca="1" si="9"/>
        <v>-83</v>
      </c>
      <c r="V57">
        <v>0</v>
      </c>
      <c r="W57">
        <v>0</v>
      </c>
      <c r="X57">
        <f t="shared" ca="1" si="10"/>
        <v>-152</v>
      </c>
      <c r="Y57">
        <v>0</v>
      </c>
      <c r="Z57">
        <v>0</v>
      </c>
      <c r="AA57">
        <v>100</v>
      </c>
      <c r="AB57" t="s">
        <v>61</v>
      </c>
      <c r="AC57" t="s">
        <v>105</v>
      </c>
      <c r="AD57">
        <v>1</v>
      </c>
      <c r="AE57">
        <v>52</v>
      </c>
      <c r="AF57">
        <v>265</v>
      </c>
      <c r="AG57" t="s">
        <v>47</v>
      </c>
      <c r="AH57" t="s">
        <v>48</v>
      </c>
      <c r="AI57" t="s">
        <v>49</v>
      </c>
      <c r="AJ57" t="s">
        <v>50</v>
      </c>
      <c r="AK57" t="s">
        <v>51</v>
      </c>
      <c r="AL57">
        <v>3.6726999999999999</v>
      </c>
      <c r="AM57" t="s">
        <v>52</v>
      </c>
      <c r="AN57" t="s">
        <v>93</v>
      </c>
      <c r="AO57" t="s">
        <v>54</v>
      </c>
      <c r="AP57" t="s">
        <v>94</v>
      </c>
      <c r="AQ57" t="s">
        <v>55</v>
      </c>
    </row>
    <row r="58" spans="1:43" x14ac:dyDescent="0.3">
      <c r="A58" t="s">
        <v>43</v>
      </c>
      <c r="B58">
        <v>2020</v>
      </c>
      <c r="C58">
        <v>299</v>
      </c>
      <c r="D58">
        <v>5211</v>
      </c>
      <c r="E58">
        <v>15</v>
      </c>
      <c r="F58">
        <v>202305</v>
      </c>
      <c r="G58">
        <v>1100128</v>
      </c>
      <c r="H58" t="s">
        <v>104</v>
      </c>
      <c r="I58" t="s">
        <v>45</v>
      </c>
      <c r="J58">
        <v>7</v>
      </c>
      <c r="K58">
        <f t="shared" ca="1" si="1"/>
        <v>15</v>
      </c>
      <c r="L58">
        <f t="shared" ca="1" si="2"/>
        <v>-14</v>
      </c>
      <c r="M58">
        <f t="shared" ca="1" si="3"/>
        <v>413</v>
      </c>
      <c r="N58">
        <f t="shared" ca="1" si="3"/>
        <v>51</v>
      </c>
      <c r="O58">
        <f t="shared" ca="1" si="0"/>
        <v>397</v>
      </c>
      <c r="P58">
        <f t="shared" ca="1" si="4"/>
        <v>-423</v>
      </c>
      <c r="Q58">
        <f t="shared" ca="1" si="5"/>
        <v>710</v>
      </c>
      <c r="R58">
        <f t="shared" ca="1" si="6"/>
        <v>-65</v>
      </c>
      <c r="S58">
        <f t="shared" ca="1" si="7"/>
        <v>3595</v>
      </c>
      <c r="T58">
        <f t="shared" ca="1" si="8"/>
        <v>7112</v>
      </c>
      <c r="U58">
        <f t="shared" ca="1" si="9"/>
        <v>202</v>
      </c>
      <c r="V58">
        <v>0</v>
      </c>
      <c r="W58">
        <v>0</v>
      </c>
      <c r="X58">
        <f t="shared" ca="1" si="10"/>
        <v>-303</v>
      </c>
      <c r="Y58">
        <v>0</v>
      </c>
      <c r="Z58">
        <v>0</v>
      </c>
      <c r="AA58">
        <v>100</v>
      </c>
      <c r="AB58" t="s">
        <v>65</v>
      </c>
      <c r="AC58" t="s">
        <v>106</v>
      </c>
      <c r="AD58">
        <v>1</v>
      </c>
      <c r="AE58">
        <v>52</v>
      </c>
      <c r="AF58">
        <v>265</v>
      </c>
      <c r="AG58" t="s">
        <v>47</v>
      </c>
      <c r="AH58" t="s">
        <v>48</v>
      </c>
      <c r="AI58" t="s">
        <v>49</v>
      </c>
      <c r="AJ58" t="s">
        <v>50</v>
      </c>
      <c r="AK58" t="s">
        <v>51</v>
      </c>
      <c r="AL58">
        <v>3.6726999999999999</v>
      </c>
      <c r="AM58" t="s">
        <v>52</v>
      </c>
      <c r="AN58" t="s">
        <v>93</v>
      </c>
      <c r="AO58" t="s">
        <v>54</v>
      </c>
      <c r="AP58" t="s">
        <v>94</v>
      </c>
      <c r="AQ58" t="s">
        <v>55</v>
      </c>
    </row>
    <row r="59" spans="1:43" x14ac:dyDescent="0.3">
      <c r="A59" t="s">
        <v>43</v>
      </c>
      <c r="B59">
        <v>2020</v>
      </c>
      <c r="C59">
        <v>299</v>
      </c>
      <c r="D59">
        <v>5211</v>
      </c>
      <c r="E59">
        <v>15</v>
      </c>
      <c r="F59">
        <v>202305</v>
      </c>
      <c r="G59">
        <v>3100302</v>
      </c>
      <c r="H59" t="s">
        <v>104</v>
      </c>
      <c r="I59" t="s">
        <v>45</v>
      </c>
      <c r="J59">
        <v>7</v>
      </c>
      <c r="K59">
        <f t="shared" ca="1" si="1"/>
        <v>50</v>
      </c>
      <c r="L59">
        <f t="shared" ca="1" si="2"/>
        <v>-93</v>
      </c>
      <c r="M59">
        <f t="shared" ca="1" si="3"/>
        <v>-46</v>
      </c>
      <c r="N59">
        <f t="shared" ca="1" si="3"/>
        <v>-78</v>
      </c>
      <c r="O59">
        <f t="shared" ca="1" si="0"/>
        <v>839</v>
      </c>
      <c r="P59">
        <f t="shared" ca="1" si="4"/>
        <v>-146</v>
      </c>
      <c r="Q59">
        <f t="shared" ca="1" si="5"/>
        <v>793</v>
      </c>
      <c r="R59">
        <f t="shared" ca="1" si="6"/>
        <v>39</v>
      </c>
      <c r="S59">
        <f t="shared" ca="1" si="7"/>
        <v>6966</v>
      </c>
      <c r="T59">
        <f t="shared" ca="1" si="8"/>
        <v>2579</v>
      </c>
      <c r="U59">
        <f t="shared" ca="1" si="9"/>
        <v>827</v>
      </c>
      <c r="V59">
        <v>0</v>
      </c>
      <c r="W59">
        <v>0</v>
      </c>
      <c r="X59">
        <f t="shared" ca="1" si="10"/>
        <v>-81</v>
      </c>
      <c r="Y59">
        <v>0</v>
      </c>
      <c r="Z59">
        <v>0</v>
      </c>
      <c r="AA59">
        <v>100</v>
      </c>
      <c r="AB59" t="s">
        <v>80</v>
      </c>
      <c r="AC59" t="s">
        <v>82</v>
      </c>
      <c r="AD59">
        <v>1</v>
      </c>
      <c r="AE59">
        <v>52</v>
      </c>
      <c r="AF59">
        <v>265</v>
      </c>
      <c r="AG59" t="s">
        <v>47</v>
      </c>
      <c r="AH59" t="s">
        <v>48</v>
      </c>
      <c r="AI59" t="s">
        <v>49</v>
      </c>
      <c r="AJ59" t="s">
        <v>50</v>
      </c>
      <c r="AK59" t="s">
        <v>51</v>
      </c>
      <c r="AL59">
        <v>3.6726999999999999</v>
      </c>
      <c r="AM59" t="s">
        <v>52</v>
      </c>
      <c r="AN59" t="s">
        <v>93</v>
      </c>
      <c r="AO59" t="s">
        <v>54</v>
      </c>
      <c r="AP59" t="s">
        <v>94</v>
      </c>
      <c r="AQ59" t="s">
        <v>55</v>
      </c>
    </row>
    <row r="60" spans="1:43" x14ac:dyDescent="0.3">
      <c r="A60" t="s">
        <v>43</v>
      </c>
      <c r="B60">
        <v>2020</v>
      </c>
      <c r="C60">
        <v>299</v>
      </c>
      <c r="D60">
        <v>5211</v>
      </c>
      <c r="E60">
        <v>15</v>
      </c>
      <c r="F60">
        <v>202305</v>
      </c>
      <c r="G60">
        <v>3100303</v>
      </c>
      <c r="H60" t="s">
        <v>104</v>
      </c>
      <c r="I60" t="s">
        <v>45</v>
      </c>
      <c r="J60">
        <v>7</v>
      </c>
      <c r="K60">
        <f t="shared" ca="1" si="1"/>
        <v>90</v>
      </c>
      <c r="L60">
        <f t="shared" ca="1" si="2"/>
        <v>-96</v>
      </c>
      <c r="M60">
        <f t="shared" ca="1" si="3"/>
        <v>374</v>
      </c>
      <c r="N60">
        <f t="shared" ca="1" si="3"/>
        <v>215</v>
      </c>
      <c r="O60">
        <f t="shared" ca="1" si="0"/>
        <v>613</v>
      </c>
      <c r="P60">
        <f t="shared" ca="1" si="4"/>
        <v>596</v>
      </c>
      <c r="Q60">
        <f t="shared" ca="1" si="5"/>
        <v>1150</v>
      </c>
      <c r="R60">
        <f t="shared" ca="1" si="6"/>
        <v>280</v>
      </c>
      <c r="S60">
        <f t="shared" ca="1" si="7"/>
        <v>8026</v>
      </c>
      <c r="T60">
        <f t="shared" ca="1" si="8"/>
        <v>938</v>
      </c>
      <c r="U60">
        <f t="shared" ca="1" si="9"/>
        <v>30</v>
      </c>
      <c r="V60">
        <v>0</v>
      </c>
      <c r="W60">
        <v>0</v>
      </c>
      <c r="X60">
        <f t="shared" ca="1" si="10"/>
        <v>82</v>
      </c>
      <c r="Y60">
        <v>0</v>
      </c>
      <c r="Z60">
        <v>0</v>
      </c>
      <c r="AA60">
        <v>100</v>
      </c>
      <c r="AB60" t="s">
        <v>80</v>
      </c>
      <c r="AC60" t="s">
        <v>83</v>
      </c>
      <c r="AD60">
        <v>1</v>
      </c>
      <c r="AE60">
        <v>52</v>
      </c>
      <c r="AF60">
        <v>265</v>
      </c>
      <c r="AG60" t="s">
        <v>47</v>
      </c>
      <c r="AH60" t="s">
        <v>48</v>
      </c>
      <c r="AI60" t="s">
        <v>49</v>
      </c>
      <c r="AJ60" t="s">
        <v>50</v>
      </c>
      <c r="AK60" t="s">
        <v>51</v>
      </c>
      <c r="AL60">
        <v>3.6726999999999999</v>
      </c>
      <c r="AM60" t="s">
        <v>52</v>
      </c>
      <c r="AN60" t="s">
        <v>93</v>
      </c>
      <c r="AO60" t="s">
        <v>54</v>
      </c>
      <c r="AP60" t="s">
        <v>94</v>
      </c>
      <c r="AQ60" t="s">
        <v>55</v>
      </c>
    </row>
    <row r="61" spans="1:43" x14ac:dyDescent="0.3">
      <c r="A61" t="s">
        <v>43</v>
      </c>
      <c r="B61">
        <v>2020</v>
      </c>
      <c r="C61">
        <v>299</v>
      </c>
      <c r="D61">
        <v>5211</v>
      </c>
      <c r="E61">
        <v>15</v>
      </c>
      <c r="F61">
        <v>202305</v>
      </c>
      <c r="G61">
        <v>3100412</v>
      </c>
      <c r="H61" t="s">
        <v>104</v>
      </c>
      <c r="I61" t="s">
        <v>45</v>
      </c>
      <c r="J61">
        <v>7</v>
      </c>
      <c r="K61">
        <f t="shared" ca="1" si="1"/>
        <v>55</v>
      </c>
      <c r="L61">
        <f t="shared" ca="1" si="2"/>
        <v>17</v>
      </c>
      <c r="M61">
        <f t="shared" ca="1" si="3"/>
        <v>423</v>
      </c>
      <c r="N61">
        <f t="shared" ca="1" si="3"/>
        <v>306</v>
      </c>
      <c r="O61">
        <f t="shared" ca="1" si="0"/>
        <v>506</v>
      </c>
      <c r="P61">
        <f t="shared" ca="1" si="4"/>
        <v>419</v>
      </c>
      <c r="Q61">
        <f t="shared" ca="1" si="5"/>
        <v>790</v>
      </c>
      <c r="R61">
        <f t="shared" ca="1" si="6"/>
        <v>474</v>
      </c>
      <c r="S61">
        <f t="shared" ca="1" si="7"/>
        <v>6439</v>
      </c>
      <c r="T61">
        <f t="shared" ca="1" si="8"/>
        <v>7639</v>
      </c>
      <c r="U61">
        <f t="shared" ca="1" si="9"/>
        <v>696</v>
      </c>
      <c r="V61">
        <v>0</v>
      </c>
      <c r="W61">
        <v>0</v>
      </c>
      <c r="X61">
        <f t="shared" ca="1" si="10"/>
        <v>-119</v>
      </c>
      <c r="Y61">
        <v>0</v>
      </c>
      <c r="Z61">
        <v>0</v>
      </c>
      <c r="AA61">
        <v>69</v>
      </c>
      <c r="AB61" t="s">
        <v>80</v>
      </c>
      <c r="AC61" t="s">
        <v>107</v>
      </c>
      <c r="AD61">
        <v>1</v>
      </c>
      <c r="AE61">
        <v>52</v>
      </c>
      <c r="AF61">
        <v>265</v>
      </c>
      <c r="AG61" t="s">
        <v>47</v>
      </c>
      <c r="AH61" t="s">
        <v>48</v>
      </c>
      <c r="AI61" t="s">
        <v>49</v>
      </c>
      <c r="AJ61" t="s">
        <v>50</v>
      </c>
      <c r="AK61" t="s">
        <v>51</v>
      </c>
      <c r="AL61">
        <v>3.6726999999999999</v>
      </c>
      <c r="AM61" t="s">
        <v>52</v>
      </c>
      <c r="AN61" t="s">
        <v>93</v>
      </c>
      <c r="AO61" t="s">
        <v>54</v>
      </c>
      <c r="AP61" t="s">
        <v>94</v>
      </c>
      <c r="AQ61" t="s">
        <v>55</v>
      </c>
    </row>
    <row r="62" spans="1:43" x14ac:dyDescent="0.3">
      <c r="A62" t="s">
        <v>43</v>
      </c>
      <c r="B62">
        <v>2020</v>
      </c>
      <c r="C62">
        <v>299</v>
      </c>
      <c r="D62">
        <v>5211</v>
      </c>
      <c r="E62">
        <v>15</v>
      </c>
      <c r="F62">
        <v>202305</v>
      </c>
      <c r="G62">
        <v>3100413</v>
      </c>
      <c r="H62" t="s">
        <v>104</v>
      </c>
      <c r="I62" t="s">
        <v>45</v>
      </c>
      <c r="J62">
        <v>7</v>
      </c>
      <c r="K62">
        <f t="shared" ca="1" si="1"/>
        <v>90</v>
      </c>
      <c r="L62">
        <f t="shared" ca="1" si="2"/>
        <v>-23</v>
      </c>
      <c r="M62">
        <f t="shared" ca="1" si="3"/>
        <v>286</v>
      </c>
      <c r="N62">
        <f t="shared" ca="1" si="3"/>
        <v>41</v>
      </c>
      <c r="O62">
        <f t="shared" ca="1" si="0"/>
        <v>926</v>
      </c>
      <c r="P62">
        <f t="shared" ca="1" si="4"/>
        <v>1338</v>
      </c>
      <c r="Q62">
        <f t="shared" ca="1" si="5"/>
        <v>1186</v>
      </c>
      <c r="R62">
        <f t="shared" ca="1" si="6"/>
        <v>190</v>
      </c>
      <c r="S62">
        <f t="shared" ca="1" si="7"/>
        <v>2777</v>
      </c>
      <c r="T62">
        <f t="shared" ca="1" si="8"/>
        <v>2402</v>
      </c>
      <c r="U62">
        <f t="shared" ca="1" si="9"/>
        <v>90</v>
      </c>
      <c r="V62">
        <v>0</v>
      </c>
      <c r="W62">
        <v>0</v>
      </c>
      <c r="X62">
        <f t="shared" ca="1" si="10"/>
        <v>-350</v>
      </c>
      <c r="Y62">
        <v>0</v>
      </c>
      <c r="Z62">
        <v>0</v>
      </c>
      <c r="AA62">
        <v>59</v>
      </c>
      <c r="AB62" t="s">
        <v>80</v>
      </c>
      <c r="AC62" t="s">
        <v>108</v>
      </c>
      <c r="AD62">
        <v>1</v>
      </c>
      <c r="AE62">
        <v>52</v>
      </c>
      <c r="AF62">
        <v>265</v>
      </c>
      <c r="AG62" t="s">
        <v>47</v>
      </c>
      <c r="AH62" t="s">
        <v>48</v>
      </c>
      <c r="AI62" t="s">
        <v>49</v>
      </c>
      <c r="AJ62" t="s">
        <v>50</v>
      </c>
      <c r="AK62" t="s">
        <v>51</v>
      </c>
      <c r="AL62">
        <v>3.6726999999999999</v>
      </c>
      <c r="AM62" t="s">
        <v>52</v>
      </c>
      <c r="AN62" t="s">
        <v>93</v>
      </c>
      <c r="AO62" t="s">
        <v>54</v>
      </c>
      <c r="AP62" t="s">
        <v>94</v>
      </c>
      <c r="AQ62" t="s">
        <v>55</v>
      </c>
    </row>
    <row r="63" spans="1:43" x14ac:dyDescent="0.3">
      <c r="A63" t="s">
        <v>43</v>
      </c>
      <c r="B63">
        <v>2020</v>
      </c>
      <c r="C63">
        <v>299</v>
      </c>
      <c r="D63">
        <v>5211</v>
      </c>
      <c r="E63">
        <v>15</v>
      </c>
      <c r="F63">
        <v>202305</v>
      </c>
      <c r="G63">
        <v>3100414</v>
      </c>
      <c r="H63" t="s">
        <v>104</v>
      </c>
      <c r="I63" t="s">
        <v>45</v>
      </c>
      <c r="J63">
        <v>7</v>
      </c>
      <c r="K63">
        <f t="shared" ca="1" si="1"/>
        <v>54</v>
      </c>
      <c r="L63">
        <f t="shared" ca="1" si="2"/>
        <v>24</v>
      </c>
      <c r="M63">
        <f t="shared" ca="1" si="3"/>
        <v>500</v>
      </c>
      <c r="N63">
        <f t="shared" ca="1" si="3"/>
        <v>159</v>
      </c>
      <c r="O63">
        <f t="shared" ca="1" si="0"/>
        <v>959</v>
      </c>
      <c r="P63">
        <f t="shared" ca="1" si="4"/>
        <v>-288</v>
      </c>
      <c r="Q63">
        <f t="shared" ca="1" si="5"/>
        <v>534</v>
      </c>
      <c r="R63">
        <f t="shared" ca="1" si="6"/>
        <v>454</v>
      </c>
      <c r="S63">
        <f t="shared" ca="1" si="7"/>
        <v>11268</v>
      </c>
      <c r="T63">
        <f t="shared" ca="1" si="8"/>
        <v>190</v>
      </c>
      <c r="U63">
        <f t="shared" ca="1" si="9"/>
        <v>-26</v>
      </c>
      <c r="V63">
        <v>0</v>
      </c>
      <c r="W63">
        <v>0</v>
      </c>
      <c r="X63">
        <f t="shared" ca="1" si="10"/>
        <v>45</v>
      </c>
      <c r="Y63">
        <v>0</v>
      </c>
      <c r="Z63">
        <v>0</v>
      </c>
      <c r="AA63">
        <v>93</v>
      </c>
      <c r="AB63" t="s">
        <v>80</v>
      </c>
      <c r="AC63" t="s">
        <v>109</v>
      </c>
      <c r="AD63">
        <v>1</v>
      </c>
      <c r="AE63">
        <v>52</v>
      </c>
      <c r="AF63">
        <v>265</v>
      </c>
      <c r="AG63" t="s">
        <v>47</v>
      </c>
      <c r="AH63" t="s">
        <v>48</v>
      </c>
      <c r="AI63" t="s">
        <v>49</v>
      </c>
      <c r="AJ63" t="s">
        <v>50</v>
      </c>
      <c r="AK63" t="s">
        <v>51</v>
      </c>
      <c r="AL63">
        <v>3.6726999999999999</v>
      </c>
      <c r="AM63" t="s">
        <v>52</v>
      </c>
      <c r="AN63" t="s">
        <v>93</v>
      </c>
      <c r="AO63" t="s">
        <v>54</v>
      </c>
      <c r="AP63" t="s">
        <v>94</v>
      </c>
      <c r="AQ63" t="s">
        <v>55</v>
      </c>
    </row>
    <row r="64" spans="1:43" x14ac:dyDescent="0.3">
      <c r="A64" t="s">
        <v>43</v>
      </c>
      <c r="B64">
        <v>2020</v>
      </c>
      <c r="C64">
        <v>299</v>
      </c>
      <c r="D64">
        <v>5211</v>
      </c>
      <c r="E64">
        <v>30</v>
      </c>
      <c r="F64">
        <v>202305</v>
      </c>
      <c r="G64">
        <v>3100302</v>
      </c>
      <c r="H64" t="s">
        <v>81</v>
      </c>
      <c r="I64" t="s">
        <v>45</v>
      </c>
      <c r="J64">
        <v>7</v>
      </c>
      <c r="K64">
        <f t="shared" ca="1" si="1"/>
        <v>1</v>
      </c>
      <c r="L64">
        <f t="shared" ca="1" si="2"/>
        <v>51</v>
      </c>
      <c r="M64">
        <f t="shared" ca="1" si="3"/>
        <v>37</v>
      </c>
      <c r="N64">
        <f t="shared" ca="1" si="3"/>
        <v>443</v>
      </c>
      <c r="O64">
        <f t="shared" ca="1" si="0"/>
        <v>525</v>
      </c>
      <c r="P64">
        <f t="shared" ca="1" si="4"/>
        <v>1253</v>
      </c>
      <c r="Q64">
        <f t="shared" ca="1" si="5"/>
        <v>420</v>
      </c>
      <c r="R64">
        <f t="shared" ca="1" si="6"/>
        <v>113</v>
      </c>
      <c r="S64">
        <f t="shared" ca="1" si="7"/>
        <v>2229</v>
      </c>
      <c r="T64">
        <f t="shared" ca="1" si="8"/>
        <v>8342</v>
      </c>
      <c r="U64">
        <f t="shared" ca="1" si="9"/>
        <v>1194</v>
      </c>
      <c r="V64">
        <v>0</v>
      </c>
      <c r="W64">
        <v>0</v>
      </c>
      <c r="X64">
        <f t="shared" ca="1" si="10"/>
        <v>-174</v>
      </c>
      <c r="Y64">
        <v>0</v>
      </c>
      <c r="Z64">
        <v>0</v>
      </c>
      <c r="AA64">
        <v>7</v>
      </c>
      <c r="AB64" t="s">
        <v>80</v>
      </c>
      <c r="AC64" t="s">
        <v>82</v>
      </c>
      <c r="AD64">
        <v>1</v>
      </c>
      <c r="AE64">
        <v>52</v>
      </c>
      <c r="AF64">
        <v>265</v>
      </c>
      <c r="AG64" t="s">
        <v>47</v>
      </c>
      <c r="AH64" t="s">
        <v>48</v>
      </c>
      <c r="AI64" t="s">
        <v>49</v>
      </c>
      <c r="AJ64" t="s">
        <v>50</v>
      </c>
      <c r="AK64" t="s">
        <v>51</v>
      </c>
      <c r="AL64">
        <v>3.6726999999999999</v>
      </c>
      <c r="AM64" t="s">
        <v>52</v>
      </c>
      <c r="AN64" t="s">
        <v>93</v>
      </c>
      <c r="AO64" t="s">
        <v>50</v>
      </c>
      <c r="AP64" t="s">
        <v>94</v>
      </c>
      <c r="AQ64" t="s">
        <v>55</v>
      </c>
    </row>
    <row r="65" spans="1:43" x14ac:dyDescent="0.3">
      <c r="A65" t="s">
        <v>43</v>
      </c>
      <c r="B65">
        <v>2020</v>
      </c>
      <c r="C65">
        <v>299</v>
      </c>
      <c r="D65">
        <v>5211</v>
      </c>
      <c r="E65">
        <v>30</v>
      </c>
      <c r="F65">
        <v>202305</v>
      </c>
      <c r="G65">
        <v>3100303</v>
      </c>
      <c r="H65" t="s">
        <v>81</v>
      </c>
      <c r="I65" t="s">
        <v>45</v>
      </c>
      <c r="J65">
        <v>7</v>
      </c>
      <c r="K65">
        <f t="shared" ca="1" si="1"/>
        <v>73</v>
      </c>
      <c r="L65">
        <f t="shared" ca="1" si="2"/>
        <v>-49</v>
      </c>
      <c r="M65">
        <f t="shared" ca="1" si="3"/>
        <v>405</v>
      </c>
      <c r="N65">
        <f t="shared" ca="1" si="3"/>
        <v>185</v>
      </c>
      <c r="O65">
        <f t="shared" ca="1" si="0"/>
        <v>526</v>
      </c>
      <c r="P65">
        <f t="shared" ca="1" si="4"/>
        <v>-183</v>
      </c>
      <c r="Q65">
        <f t="shared" ca="1" si="5"/>
        <v>639</v>
      </c>
      <c r="R65">
        <f t="shared" ca="1" si="6"/>
        <v>461</v>
      </c>
      <c r="S65">
        <f t="shared" ca="1" si="7"/>
        <v>2021</v>
      </c>
      <c r="T65">
        <f t="shared" ca="1" si="8"/>
        <v>3485</v>
      </c>
      <c r="U65">
        <f t="shared" ca="1" si="9"/>
        <v>-63</v>
      </c>
      <c r="V65">
        <v>0</v>
      </c>
      <c r="W65">
        <v>0</v>
      </c>
      <c r="X65">
        <f t="shared" ca="1" si="10"/>
        <v>-303</v>
      </c>
      <c r="Y65">
        <v>0</v>
      </c>
      <c r="Z65">
        <v>6</v>
      </c>
      <c r="AA65">
        <v>100</v>
      </c>
      <c r="AB65" t="s">
        <v>80</v>
      </c>
      <c r="AC65" t="s">
        <v>83</v>
      </c>
      <c r="AD65">
        <v>1</v>
      </c>
      <c r="AE65">
        <v>52</v>
      </c>
      <c r="AF65">
        <v>265</v>
      </c>
      <c r="AG65" t="s">
        <v>47</v>
      </c>
      <c r="AH65" t="s">
        <v>48</v>
      </c>
      <c r="AI65" t="s">
        <v>49</v>
      </c>
      <c r="AJ65" t="s">
        <v>50</v>
      </c>
      <c r="AK65" t="s">
        <v>51</v>
      </c>
      <c r="AL65">
        <v>3.6726999999999999</v>
      </c>
      <c r="AM65" t="s">
        <v>52</v>
      </c>
      <c r="AN65" t="s">
        <v>93</v>
      </c>
      <c r="AO65" t="s">
        <v>50</v>
      </c>
      <c r="AP65" t="s">
        <v>94</v>
      </c>
      <c r="AQ65" t="s">
        <v>55</v>
      </c>
    </row>
    <row r="66" spans="1:43" x14ac:dyDescent="0.3">
      <c r="A66" t="s">
        <v>43</v>
      </c>
      <c r="B66">
        <v>2020</v>
      </c>
      <c r="C66">
        <v>299</v>
      </c>
      <c r="D66">
        <v>5211</v>
      </c>
      <c r="E66">
        <v>30</v>
      </c>
      <c r="F66">
        <v>202305</v>
      </c>
      <c r="G66">
        <v>3100305</v>
      </c>
      <c r="H66" t="s">
        <v>81</v>
      </c>
      <c r="I66" t="s">
        <v>45</v>
      </c>
      <c r="J66">
        <v>7</v>
      </c>
      <c r="K66">
        <f t="shared" ca="1" si="1"/>
        <v>20</v>
      </c>
      <c r="L66">
        <f t="shared" ca="1" si="2"/>
        <v>80</v>
      </c>
      <c r="M66">
        <f t="shared" ca="1" si="3"/>
        <v>114</v>
      </c>
      <c r="N66">
        <f t="shared" ca="1" si="3"/>
        <v>142</v>
      </c>
      <c r="O66">
        <f t="shared" ref="O66:O129" ca="1" si="11">RANDBETWEEN(-100, 1000)</f>
        <v>901</v>
      </c>
      <c r="P66">
        <f t="shared" ca="1" si="4"/>
        <v>429</v>
      </c>
      <c r="Q66">
        <f t="shared" ca="1" si="5"/>
        <v>593</v>
      </c>
      <c r="R66">
        <f t="shared" ca="1" si="6"/>
        <v>174</v>
      </c>
      <c r="S66">
        <f t="shared" ca="1" si="7"/>
        <v>3699</v>
      </c>
      <c r="T66">
        <f t="shared" ca="1" si="8"/>
        <v>4782</v>
      </c>
      <c r="U66">
        <f t="shared" ca="1" si="9"/>
        <v>1260</v>
      </c>
      <c r="V66">
        <v>0</v>
      </c>
      <c r="W66">
        <v>0</v>
      </c>
      <c r="X66">
        <f t="shared" ca="1" si="10"/>
        <v>77</v>
      </c>
      <c r="Y66">
        <v>0</v>
      </c>
      <c r="Z66">
        <v>0</v>
      </c>
      <c r="AA66">
        <v>49</v>
      </c>
      <c r="AB66" t="s">
        <v>80</v>
      </c>
      <c r="AC66" t="s">
        <v>85</v>
      </c>
      <c r="AD66">
        <v>1</v>
      </c>
      <c r="AE66">
        <v>52</v>
      </c>
      <c r="AF66">
        <v>265</v>
      </c>
      <c r="AG66" t="s">
        <v>47</v>
      </c>
      <c r="AH66" t="s">
        <v>48</v>
      </c>
      <c r="AI66" t="s">
        <v>49</v>
      </c>
      <c r="AJ66" t="s">
        <v>50</v>
      </c>
      <c r="AK66" t="s">
        <v>51</v>
      </c>
      <c r="AL66">
        <v>3.6726999999999999</v>
      </c>
      <c r="AM66" t="s">
        <v>52</v>
      </c>
      <c r="AN66" t="s">
        <v>93</v>
      </c>
      <c r="AO66" t="s">
        <v>50</v>
      </c>
      <c r="AP66" t="s">
        <v>94</v>
      </c>
      <c r="AQ66" t="s">
        <v>55</v>
      </c>
    </row>
    <row r="67" spans="1:43" x14ac:dyDescent="0.3">
      <c r="A67" t="s">
        <v>43</v>
      </c>
      <c r="B67">
        <v>2020</v>
      </c>
      <c r="C67">
        <v>299</v>
      </c>
      <c r="D67">
        <v>5211</v>
      </c>
      <c r="E67">
        <v>30</v>
      </c>
      <c r="F67">
        <v>202305</v>
      </c>
      <c r="G67">
        <v>3100313</v>
      </c>
      <c r="H67" t="s">
        <v>81</v>
      </c>
      <c r="I67" t="s">
        <v>45</v>
      </c>
      <c r="J67">
        <v>7</v>
      </c>
      <c r="K67">
        <f t="shared" ref="K67:K130" ca="1" si="12">RANDBETWEEN(0, 100)</f>
        <v>27</v>
      </c>
      <c r="L67">
        <f t="shared" ref="L67:L130" ca="1" si="13">RANDBETWEEN(-100, 100)</f>
        <v>-74</v>
      </c>
      <c r="M67">
        <f t="shared" ref="M67:N130" ca="1" si="14">RANDBETWEEN(-100, 500)</f>
        <v>226</v>
      </c>
      <c r="N67">
        <f t="shared" ca="1" si="14"/>
        <v>261</v>
      </c>
      <c r="O67">
        <f t="shared" ca="1" si="11"/>
        <v>678</v>
      </c>
      <c r="P67">
        <f t="shared" ref="P67:P130" ca="1" si="15">RANDBETWEEN(-500, 1500)</f>
        <v>-64</v>
      </c>
      <c r="Q67">
        <f t="shared" ref="Q67:Q130" ca="1" si="16">RANDBETWEEN(0,1200)</f>
        <v>74</v>
      </c>
      <c r="R67">
        <f t="shared" ref="R67:R130" ca="1" si="17">RANDBETWEEN(-100, 500)</f>
        <v>186</v>
      </c>
      <c r="S67">
        <f t="shared" ref="S67:S130" ca="1" si="18">RANDBETWEEN(-100, 15000)</f>
        <v>9892</v>
      </c>
      <c r="T67">
        <f t="shared" ref="T67:T130" ca="1" si="19">RANDBETWEEN(-100, 10000)</f>
        <v>7571</v>
      </c>
      <c r="U67">
        <f t="shared" ref="U67:U130" ca="1" si="20">RANDBETWEEN(-100, 1300)</f>
        <v>1061</v>
      </c>
      <c r="V67">
        <v>0</v>
      </c>
      <c r="W67">
        <v>0</v>
      </c>
      <c r="X67">
        <f t="shared" ref="X67:X130" ca="1" si="21">RANDBETWEEN(-500, 100)</f>
        <v>-82</v>
      </c>
      <c r="Y67">
        <v>0</v>
      </c>
      <c r="Z67">
        <v>0</v>
      </c>
      <c r="AA67">
        <v>100</v>
      </c>
      <c r="AB67" t="s">
        <v>80</v>
      </c>
      <c r="AC67" t="s">
        <v>86</v>
      </c>
      <c r="AD67">
        <v>1</v>
      </c>
      <c r="AE67">
        <v>52</v>
      </c>
      <c r="AF67">
        <v>265</v>
      </c>
      <c r="AG67" t="s">
        <v>47</v>
      </c>
      <c r="AH67" t="s">
        <v>48</v>
      </c>
      <c r="AI67" t="s">
        <v>49</v>
      </c>
      <c r="AJ67" t="s">
        <v>50</v>
      </c>
      <c r="AK67" t="s">
        <v>51</v>
      </c>
      <c r="AL67">
        <v>3.6726999999999999</v>
      </c>
      <c r="AM67" t="s">
        <v>52</v>
      </c>
      <c r="AN67" t="s">
        <v>93</v>
      </c>
      <c r="AO67" t="s">
        <v>50</v>
      </c>
      <c r="AP67" t="s">
        <v>94</v>
      </c>
      <c r="AQ67" t="s">
        <v>55</v>
      </c>
    </row>
    <row r="68" spans="1:43" x14ac:dyDescent="0.3">
      <c r="A68" t="s">
        <v>43</v>
      </c>
      <c r="B68">
        <v>2020</v>
      </c>
      <c r="C68">
        <v>299</v>
      </c>
      <c r="D68">
        <v>5211</v>
      </c>
      <c r="E68">
        <v>30</v>
      </c>
      <c r="F68">
        <v>202305</v>
      </c>
      <c r="G68">
        <v>3100321</v>
      </c>
      <c r="H68" t="s">
        <v>81</v>
      </c>
      <c r="I68" t="s">
        <v>45</v>
      </c>
      <c r="J68">
        <v>7</v>
      </c>
      <c r="K68">
        <f t="shared" ca="1" si="12"/>
        <v>61</v>
      </c>
      <c r="L68">
        <f t="shared" ca="1" si="13"/>
        <v>-48</v>
      </c>
      <c r="M68">
        <f t="shared" ca="1" si="14"/>
        <v>240</v>
      </c>
      <c r="N68">
        <f t="shared" ca="1" si="14"/>
        <v>-6</v>
      </c>
      <c r="O68">
        <f t="shared" ca="1" si="11"/>
        <v>297</v>
      </c>
      <c r="P68">
        <f t="shared" ca="1" si="15"/>
        <v>-226</v>
      </c>
      <c r="Q68">
        <f t="shared" ca="1" si="16"/>
        <v>626</v>
      </c>
      <c r="R68">
        <f t="shared" ca="1" si="17"/>
        <v>-2</v>
      </c>
      <c r="S68">
        <f t="shared" ca="1" si="18"/>
        <v>2513</v>
      </c>
      <c r="T68">
        <f t="shared" ca="1" si="19"/>
        <v>3968</v>
      </c>
      <c r="U68">
        <f t="shared" ca="1" si="20"/>
        <v>7</v>
      </c>
      <c r="V68">
        <v>0</v>
      </c>
      <c r="W68">
        <v>0</v>
      </c>
      <c r="X68">
        <f t="shared" ca="1" si="21"/>
        <v>-225</v>
      </c>
      <c r="Y68">
        <v>0</v>
      </c>
      <c r="Z68">
        <v>0</v>
      </c>
      <c r="AA68">
        <v>100</v>
      </c>
      <c r="AB68" t="s">
        <v>80</v>
      </c>
      <c r="AC68" t="s">
        <v>110</v>
      </c>
      <c r="AD68">
        <v>1</v>
      </c>
      <c r="AE68">
        <v>52</v>
      </c>
      <c r="AF68">
        <v>265</v>
      </c>
      <c r="AG68" t="s">
        <v>47</v>
      </c>
      <c r="AH68" t="s">
        <v>48</v>
      </c>
      <c r="AI68" t="s">
        <v>49</v>
      </c>
      <c r="AJ68" t="s">
        <v>50</v>
      </c>
      <c r="AK68" t="s">
        <v>51</v>
      </c>
      <c r="AL68">
        <v>3.6726999999999999</v>
      </c>
      <c r="AM68" t="s">
        <v>52</v>
      </c>
      <c r="AN68" t="s">
        <v>93</v>
      </c>
      <c r="AO68" t="s">
        <v>50</v>
      </c>
      <c r="AP68" t="s">
        <v>94</v>
      </c>
      <c r="AQ68" t="s">
        <v>55</v>
      </c>
    </row>
    <row r="69" spans="1:43" x14ac:dyDescent="0.3">
      <c r="A69" t="s">
        <v>43</v>
      </c>
      <c r="B69">
        <v>2020</v>
      </c>
      <c r="C69">
        <v>299</v>
      </c>
      <c r="D69">
        <v>5211</v>
      </c>
      <c r="E69">
        <v>30</v>
      </c>
      <c r="F69">
        <v>202305</v>
      </c>
      <c r="G69">
        <v>3100326</v>
      </c>
      <c r="H69" t="s">
        <v>81</v>
      </c>
      <c r="I69" t="s">
        <v>45</v>
      </c>
      <c r="J69">
        <v>7</v>
      </c>
      <c r="K69">
        <f t="shared" ca="1" si="12"/>
        <v>86</v>
      </c>
      <c r="L69">
        <f t="shared" ca="1" si="13"/>
        <v>51</v>
      </c>
      <c r="M69">
        <f t="shared" ca="1" si="14"/>
        <v>98</v>
      </c>
      <c r="N69">
        <f t="shared" ca="1" si="14"/>
        <v>298</v>
      </c>
      <c r="O69">
        <f t="shared" ca="1" si="11"/>
        <v>555</v>
      </c>
      <c r="P69">
        <f t="shared" ca="1" si="15"/>
        <v>-106</v>
      </c>
      <c r="Q69">
        <f t="shared" ca="1" si="16"/>
        <v>111</v>
      </c>
      <c r="R69">
        <f t="shared" ca="1" si="17"/>
        <v>378</v>
      </c>
      <c r="S69">
        <f t="shared" ca="1" si="18"/>
        <v>10043</v>
      </c>
      <c r="T69">
        <f t="shared" ca="1" si="19"/>
        <v>3640</v>
      </c>
      <c r="U69">
        <f t="shared" ca="1" si="20"/>
        <v>220</v>
      </c>
      <c r="V69">
        <v>0</v>
      </c>
      <c r="W69">
        <v>0</v>
      </c>
      <c r="X69">
        <f t="shared" ca="1" si="21"/>
        <v>-325</v>
      </c>
      <c r="Y69">
        <v>0</v>
      </c>
      <c r="Z69">
        <v>0</v>
      </c>
      <c r="AA69">
        <v>98</v>
      </c>
      <c r="AB69" t="s">
        <v>80</v>
      </c>
      <c r="AC69" t="s">
        <v>111</v>
      </c>
      <c r="AD69">
        <v>1</v>
      </c>
      <c r="AE69">
        <v>52</v>
      </c>
      <c r="AF69">
        <v>265</v>
      </c>
      <c r="AG69" t="s">
        <v>47</v>
      </c>
      <c r="AH69" t="s">
        <v>48</v>
      </c>
      <c r="AI69" t="s">
        <v>49</v>
      </c>
      <c r="AJ69" t="s">
        <v>50</v>
      </c>
      <c r="AK69" t="s">
        <v>51</v>
      </c>
      <c r="AL69">
        <v>3.6726999999999999</v>
      </c>
      <c r="AM69" t="s">
        <v>52</v>
      </c>
      <c r="AN69" t="s">
        <v>93</v>
      </c>
      <c r="AO69" t="s">
        <v>50</v>
      </c>
      <c r="AP69" t="s">
        <v>94</v>
      </c>
      <c r="AQ69" t="s">
        <v>55</v>
      </c>
    </row>
    <row r="70" spans="1:43" x14ac:dyDescent="0.3">
      <c r="A70" t="s">
        <v>43</v>
      </c>
      <c r="B70">
        <v>2020</v>
      </c>
      <c r="C70">
        <v>299</v>
      </c>
      <c r="D70">
        <v>5211</v>
      </c>
      <c r="E70">
        <v>30</v>
      </c>
      <c r="F70">
        <v>202305</v>
      </c>
      <c r="G70">
        <v>3100364</v>
      </c>
      <c r="H70" t="s">
        <v>81</v>
      </c>
      <c r="I70" t="s">
        <v>45</v>
      </c>
      <c r="J70">
        <v>7</v>
      </c>
      <c r="K70">
        <f t="shared" ca="1" si="12"/>
        <v>18</v>
      </c>
      <c r="L70">
        <f t="shared" ca="1" si="13"/>
        <v>-47</v>
      </c>
      <c r="M70">
        <f t="shared" ca="1" si="14"/>
        <v>352</v>
      </c>
      <c r="N70">
        <f t="shared" ca="1" si="14"/>
        <v>194</v>
      </c>
      <c r="O70">
        <f t="shared" ca="1" si="11"/>
        <v>391</v>
      </c>
      <c r="P70">
        <f t="shared" ca="1" si="15"/>
        <v>1353</v>
      </c>
      <c r="Q70">
        <f t="shared" ca="1" si="16"/>
        <v>855</v>
      </c>
      <c r="R70">
        <f t="shared" ca="1" si="17"/>
        <v>495</v>
      </c>
      <c r="S70">
        <f t="shared" ca="1" si="18"/>
        <v>8545</v>
      </c>
      <c r="T70">
        <f t="shared" ca="1" si="19"/>
        <v>5277</v>
      </c>
      <c r="U70">
        <f t="shared" ca="1" si="20"/>
        <v>486</v>
      </c>
      <c r="V70">
        <v>0</v>
      </c>
      <c r="W70">
        <v>0</v>
      </c>
      <c r="X70">
        <f t="shared" ca="1" si="21"/>
        <v>44</v>
      </c>
      <c r="Y70">
        <v>0</v>
      </c>
      <c r="Z70">
        <v>220</v>
      </c>
      <c r="AA70">
        <v>71</v>
      </c>
      <c r="AB70" t="s">
        <v>80</v>
      </c>
      <c r="AC70" t="s">
        <v>89</v>
      </c>
      <c r="AD70">
        <v>1</v>
      </c>
      <c r="AE70">
        <v>52</v>
      </c>
      <c r="AF70">
        <v>265</v>
      </c>
      <c r="AG70" t="s">
        <v>47</v>
      </c>
      <c r="AH70" t="s">
        <v>48</v>
      </c>
      <c r="AI70" t="s">
        <v>49</v>
      </c>
      <c r="AJ70" t="s">
        <v>50</v>
      </c>
      <c r="AK70" t="s">
        <v>51</v>
      </c>
      <c r="AL70">
        <v>3.6726999999999999</v>
      </c>
      <c r="AM70" t="s">
        <v>52</v>
      </c>
      <c r="AN70" t="s">
        <v>93</v>
      </c>
      <c r="AO70" t="s">
        <v>50</v>
      </c>
      <c r="AP70" t="s">
        <v>94</v>
      </c>
      <c r="AQ70" t="s">
        <v>55</v>
      </c>
    </row>
    <row r="71" spans="1:43" x14ac:dyDescent="0.3">
      <c r="A71" t="s">
        <v>43</v>
      </c>
      <c r="B71">
        <v>2020</v>
      </c>
      <c r="C71">
        <v>299</v>
      </c>
      <c r="D71">
        <v>5211</v>
      </c>
      <c r="E71">
        <v>30</v>
      </c>
      <c r="F71">
        <v>202305</v>
      </c>
      <c r="G71">
        <v>3100370</v>
      </c>
      <c r="H71" t="s">
        <v>81</v>
      </c>
      <c r="I71" t="s">
        <v>45</v>
      </c>
      <c r="J71">
        <v>7</v>
      </c>
      <c r="K71">
        <f t="shared" ca="1" si="12"/>
        <v>90</v>
      </c>
      <c r="L71">
        <f t="shared" ca="1" si="13"/>
        <v>83</v>
      </c>
      <c r="M71">
        <f t="shared" ca="1" si="14"/>
        <v>-63</v>
      </c>
      <c r="N71">
        <f t="shared" ca="1" si="14"/>
        <v>206</v>
      </c>
      <c r="O71">
        <f t="shared" ca="1" si="11"/>
        <v>772</v>
      </c>
      <c r="P71">
        <f t="shared" ca="1" si="15"/>
        <v>26</v>
      </c>
      <c r="Q71">
        <f t="shared" ca="1" si="16"/>
        <v>809</v>
      </c>
      <c r="R71">
        <f t="shared" ca="1" si="17"/>
        <v>447</v>
      </c>
      <c r="S71">
        <f t="shared" ca="1" si="18"/>
        <v>7387</v>
      </c>
      <c r="T71">
        <f t="shared" ca="1" si="19"/>
        <v>93</v>
      </c>
      <c r="U71">
        <f t="shared" ca="1" si="20"/>
        <v>-95</v>
      </c>
      <c r="V71">
        <v>0</v>
      </c>
      <c r="W71">
        <v>0</v>
      </c>
      <c r="X71">
        <f t="shared" ca="1" si="21"/>
        <v>-73</v>
      </c>
      <c r="Y71">
        <v>0</v>
      </c>
      <c r="Z71">
        <v>8</v>
      </c>
      <c r="AA71">
        <v>100</v>
      </c>
      <c r="AB71" t="s">
        <v>80</v>
      </c>
      <c r="AC71" t="s">
        <v>112</v>
      </c>
      <c r="AD71">
        <v>1</v>
      </c>
      <c r="AE71">
        <v>52</v>
      </c>
      <c r="AF71">
        <v>265</v>
      </c>
      <c r="AG71" t="s">
        <v>47</v>
      </c>
      <c r="AH71" t="s">
        <v>48</v>
      </c>
      <c r="AI71" t="s">
        <v>49</v>
      </c>
      <c r="AJ71" t="s">
        <v>50</v>
      </c>
      <c r="AK71" t="s">
        <v>51</v>
      </c>
      <c r="AL71">
        <v>3.6726999999999999</v>
      </c>
      <c r="AM71" t="s">
        <v>52</v>
      </c>
      <c r="AN71" t="s">
        <v>93</v>
      </c>
      <c r="AO71" t="s">
        <v>50</v>
      </c>
      <c r="AP71" t="s">
        <v>94</v>
      </c>
      <c r="AQ71" t="s">
        <v>55</v>
      </c>
    </row>
    <row r="72" spans="1:43" x14ac:dyDescent="0.3">
      <c r="A72" t="s">
        <v>43</v>
      </c>
      <c r="B72">
        <v>2020</v>
      </c>
      <c r="C72">
        <v>299</v>
      </c>
      <c r="D72">
        <v>5211</v>
      </c>
      <c r="E72">
        <v>30</v>
      </c>
      <c r="F72">
        <v>202305</v>
      </c>
      <c r="G72">
        <v>3100377</v>
      </c>
      <c r="H72" t="s">
        <v>81</v>
      </c>
      <c r="I72" t="s">
        <v>45</v>
      </c>
      <c r="J72">
        <v>7</v>
      </c>
      <c r="K72">
        <f t="shared" ca="1" si="12"/>
        <v>13</v>
      </c>
      <c r="L72">
        <f t="shared" ca="1" si="13"/>
        <v>-54</v>
      </c>
      <c r="M72">
        <f t="shared" ca="1" si="14"/>
        <v>469</v>
      </c>
      <c r="N72">
        <f t="shared" ca="1" si="14"/>
        <v>478</v>
      </c>
      <c r="O72">
        <f t="shared" ca="1" si="11"/>
        <v>381</v>
      </c>
      <c r="P72">
        <f t="shared" ca="1" si="15"/>
        <v>-487</v>
      </c>
      <c r="Q72">
        <f t="shared" ca="1" si="16"/>
        <v>849</v>
      </c>
      <c r="R72">
        <f t="shared" ca="1" si="17"/>
        <v>220</v>
      </c>
      <c r="S72">
        <f t="shared" ca="1" si="18"/>
        <v>13743</v>
      </c>
      <c r="T72">
        <f t="shared" ca="1" si="19"/>
        <v>3509</v>
      </c>
      <c r="U72">
        <f t="shared" ca="1" si="20"/>
        <v>187</v>
      </c>
      <c r="V72">
        <v>0</v>
      </c>
      <c r="W72">
        <v>0</v>
      </c>
      <c r="X72">
        <f t="shared" ca="1" si="21"/>
        <v>-406</v>
      </c>
      <c r="Y72">
        <v>0</v>
      </c>
      <c r="Z72">
        <v>0</v>
      </c>
      <c r="AA72">
        <v>100</v>
      </c>
      <c r="AB72" t="s">
        <v>80</v>
      </c>
      <c r="AC72" t="s">
        <v>113</v>
      </c>
      <c r="AD72">
        <v>1</v>
      </c>
      <c r="AE72">
        <v>52</v>
      </c>
      <c r="AF72">
        <v>265</v>
      </c>
      <c r="AG72" t="s">
        <v>47</v>
      </c>
      <c r="AH72" t="s">
        <v>48</v>
      </c>
      <c r="AI72" t="s">
        <v>49</v>
      </c>
      <c r="AJ72" t="s">
        <v>50</v>
      </c>
      <c r="AK72" t="s">
        <v>51</v>
      </c>
      <c r="AL72">
        <v>3.6726999999999999</v>
      </c>
      <c r="AM72" t="s">
        <v>52</v>
      </c>
      <c r="AN72" t="s">
        <v>93</v>
      </c>
      <c r="AO72" t="s">
        <v>50</v>
      </c>
      <c r="AP72" t="s">
        <v>94</v>
      </c>
      <c r="AQ72" t="s">
        <v>55</v>
      </c>
    </row>
    <row r="73" spans="1:43" x14ac:dyDescent="0.3">
      <c r="A73" t="s">
        <v>43</v>
      </c>
      <c r="B73">
        <v>2020</v>
      </c>
      <c r="C73">
        <v>299</v>
      </c>
      <c r="D73">
        <v>5211</v>
      </c>
      <c r="E73">
        <v>30</v>
      </c>
      <c r="F73">
        <v>202305</v>
      </c>
      <c r="G73">
        <v>3100393</v>
      </c>
      <c r="H73" t="s">
        <v>81</v>
      </c>
      <c r="I73" t="s">
        <v>45</v>
      </c>
      <c r="J73">
        <v>7</v>
      </c>
      <c r="K73">
        <f t="shared" ca="1" si="12"/>
        <v>23</v>
      </c>
      <c r="L73">
        <f t="shared" ca="1" si="13"/>
        <v>-1</v>
      </c>
      <c r="M73">
        <f t="shared" ca="1" si="14"/>
        <v>-93</v>
      </c>
      <c r="N73">
        <f t="shared" ca="1" si="14"/>
        <v>461</v>
      </c>
      <c r="O73">
        <f t="shared" ca="1" si="11"/>
        <v>-61</v>
      </c>
      <c r="P73">
        <f t="shared" ca="1" si="15"/>
        <v>182</v>
      </c>
      <c r="Q73">
        <f t="shared" ca="1" si="16"/>
        <v>710</v>
      </c>
      <c r="R73">
        <f t="shared" ca="1" si="17"/>
        <v>101</v>
      </c>
      <c r="S73">
        <f t="shared" ca="1" si="18"/>
        <v>7481</v>
      </c>
      <c r="T73">
        <f t="shared" ca="1" si="19"/>
        <v>6299</v>
      </c>
      <c r="U73">
        <f t="shared" ca="1" si="20"/>
        <v>669</v>
      </c>
      <c r="V73">
        <v>0</v>
      </c>
      <c r="W73">
        <v>0</v>
      </c>
      <c r="X73">
        <f t="shared" ca="1" si="21"/>
        <v>34</v>
      </c>
      <c r="Y73">
        <v>0</v>
      </c>
      <c r="Z73">
        <v>0</v>
      </c>
      <c r="AA73">
        <v>100</v>
      </c>
      <c r="AB73" t="s">
        <v>80</v>
      </c>
      <c r="AC73" t="s">
        <v>90</v>
      </c>
      <c r="AD73">
        <v>1</v>
      </c>
      <c r="AE73">
        <v>52</v>
      </c>
      <c r="AF73">
        <v>265</v>
      </c>
      <c r="AG73" t="s">
        <v>47</v>
      </c>
      <c r="AH73" t="s">
        <v>48</v>
      </c>
      <c r="AI73" t="s">
        <v>49</v>
      </c>
      <c r="AJ73" t="s">
        <v>50</v>
      </c>
      <c r="AK73" t="s">
        <v>51</v>
      </c>
      <c r="AL73">
        <v>3.6726999999999999</v>
      </c>
      <c r="AM73" t="s">
        <v>52</v>
      </c>
      <c r="AN73" t="s">
        <v>93</v>
      </c>
      <c r="AO73" t="s">
        <v>50</v>
      </c>
      <c r="AP73" t="s">
        <v>94</v>
      </c>
      <c r="AQ73" t="s">
        <v>55</v>
      </c>
    </row>
    <row r="74" spans="1:43" x14ac:dyDescent="0.3">
      <c r="A74" t="s">
        <v>43</v>
      </c>
      <c r="B74">
        <v>2020</v>
      </c>
      <c r="C74">
        <v>299</v>
      </c>
      <c r="D74">
        <v>5211</v>
      </c>
      <c r="E74">
        <v>30</v>
      </c>
      <c r="F74">
        <v>202305</v>
      </c>
      <c r="G74">
        <v>3200341</v>
      </c>
      <c r="H74" t="s">
        <v>81</v>
      </c>
      <c r="I74" t="s">
        <v>45</v>
      </c>
      <c r="J74">
        <v>7</v>
      </c>
      <c r="K74">
        <f t="shared" ca="1" si="12"/>
        <v>38</v>
      </c>
      <c r="L74">
        <f t="shared" ca="1" si="13"/>
        <v>-6</v>
      </c>
      <c r="M74">
        <f t="shared" ca="1" si="14"/>
        <v>405</v>
      </c>
      <c r="N74">
        <f t="shared" ca="1" si="14"/>
        <v>42</v>
      </c>
      <c r="O74">
        <f t="shared" ca="1" si="11"/>
        <v>325</v>
      </c>
      <c r="P74">
        <f t="shared" ca="1" si="15"/>
        <v>40</v>
      </c>
      <c r="Q74">
        <f t="shared" ca="1" si="16"/>
        <v>1188</v>
      </c>
      <c r="R74">
        <f t="shared" ca="1" si="17"/>
        <v>180</v>
      </c>
      <c r="S74">
        <f t="shared" ca="1" si="18"/>
        <v>5929</v>
      </c>
      <c r="T74">
        <f t="shared" ca="1" si="19"/>
        <v>353</v>
      </c>
      <c r="U74">
        <f t="shared" ca="1" si="20"/>
        <v>-33</v>
      </c>
      <c r="V74">
        <v>0</v>
      </c>
      <c r="W74">
        <v>0</v>
      </c>
      <c r="X74">
        <f t="shared" ca="1" si="21"/>
        <v>-404</v>
      </c>
      <c r="Y74">
        <v>0</v>
      </c>
      <c r="Z74">
        <v>0</v>
      </c>
      <c r="AA74">
        <v>57</v>
      </c>
      <c r="AB74" t="s">
        <v>114</v>
      </c>
      <c r="AC74" t="s">
        <v>115</v>
      </c>
      <c r="AD74">
        <v>1</v>
      </c>
      <c r="AE74">
        <v>52</v>
      </c>
      <c r="AF74">
        <v>265</v>
      </c>
      <c r="AG74" t="s">
        <v>47</v>
      </c>
      <c r="AH74" t="s">
        <v>48</v>
      </c>
      <c r="AI74" t="s">
        <v>49</v>
      </c>
      <c r="AJ74" t="s">
        <v>50</v>
      </c>
      <c r="AK74" t="s">
        <v>51</v>
      </c>
      <c r="AL74">
        <v>3.6726999999999999</v>
      </c>
      <c r="AM74" t="s">
        <v>52</v>
      </c>
      <c r="AN74" t="s">
        <v>93</v>
      </c>
      <c r="AO74" t="s">
        <v>50</v>
      </c>
      <c r="AP74" t="s">
        <v>94</v>
      </c>
      <c r="AQ74" t="s">
        <v>55</v>
      </c>
    </row>
    <row r="75" spans="1:43" x14ac:dyDescent="0.3">
      <c r="A75" t="s">
        <v>43</v>
      </c>
      <c r="B75">
        <v>2020</v>
      </c>
      <c r="C75">
        <v>299</v>
      </c>
      <c r="D75">
        <v>5211</v>
      </c>
      <c r="E75">
        <v>30</v>
      </c>
      <c r="F75">
        <v>202305</v>
      </c>
      <c r="G75">
        <v>3200342</v>
      </c>
      <c r="H75" t="s">
        <v>81</v>
      </c>
      <c r="I75" t="s">
        <v>45</v>
      </c>
      <c r="J75">
        <v>7</v>
      </c>
      <c r="K75">
        <f t="shared" ca="1" si="12"/>
        <v>6</v>
      </c>
      <c r="L75">
        <f t="shared" ca="1" si="13"/>
        <v>87</v>
      </c>
      <c r="M75">
        <f t="shared" ca="1" si="14"/>
        <v>279</v>
      </c>
      <c r="N75">
        <f t="shared" ca="1" si="14"/>
        <v>119</v>
      </c>
      <c r="O75">
        <f t="shared" ca="1" si="11"/>
        <v>470</v>
      </c>
      <c r="P75">
        <f t="shared" ca="1" si="15"/>
        <v>1470</v>
      </c>
      <c r="Q75">
        <f t="shared" ca="1" si="16"/>
        <v>583</v>
      </c>
      <c r="R75">
        <f t="shared" ca="1" si="17"/>
        <v>462</v>
      </c>
      <c r="S75">
        <f t="shared" ca="1" si="18"/>
        <v>12382</v>
      </c>
      <c r="T75">
        <f t="shared" ca="1" si="19"/>
        <v>2019</v>
      </c>
      <c r="U75">
        <f t="shared" ca="1" si="20"/>
        <v>1016</v>
      </c>
      <c r="V75">
        <v>0</v>
      </c>
      <c r="W75">
        <v>0</v>
      </c>
      <c r="X75">
        <f t="shared" ca="1" si="21"/>
        <v>-290</v>
      </c>
      <c r="Y75">
        <v>0</v>
      </c>
      <c r="Z75">
        <v>0</v>
      </c>
      <c r="AA75">
        <v>91</v>
      </c>
      <c r="AB75" t="s">
        <v>114</v>
      </c>
      <c r="AC75" t="s">
        <v>116</v>
      </c>
      <c r="AD75">
        <v>1</v>
      </c>
      <c r="AE75">
        <v>52</v>
      </c>
      <c r="AF75">
        <v>265</v>
      </c>
      <c r="AG75" t="s">
        <v>47</v>
      </c>
      <c r="AH75" t="s">
        <v>48</v>
      </c>
      <c r="AI75" t="s">
        <v>49</v>
      </c>
      <c r="AJ75" t="s">
        <v>50</v>
      </c>
      <c r="AK75" t="s">
        <v>51</v>
      </c>
      <c r="AL75">
        <v>3.6726999999999999</v>
      </c>
      <c r="AM75" t="s">
        <v>52</v>
      </c>
      <c r="AN75" t="s">
        <v>93</v>
      </c>
      <c r="AO75" t="s">
        <v>50</v>
      </c>
      <c r="AP75" t="s">
        <v>94</v>
      </c>
      <c r="AQ75" t="s">
        <v>55</v>
      </c>
    </row>
    <row r="76" spans="1:43" x14ac:dyDescent="0.3">
      <c r="A76" t="s">
        <v>43</v>
      </c>
      <c r="B76">
        <v>2020</v>
      </c>
      <c r="C76">
        <v>299</v>
      </c>
      <c r="D76">
        <v>5211</v>
      </c>
      <c r="E76">
        <v>30</v>
      </c>
      <c r="F76">
        <v>202305</v>
      </c>
      <c r="G76">
        <v>3200343</v>
      </c>
      <c r="H76" t="s">
        <v>81</v>
      </c>
      <c r="I76" t="s">
        <v>45</v>
      </c>
      <c r="J76">
        <v>7</v>
      </c>
      <c r="K76">
        <f t="shared" ca="1" si="12"/>
        <v>75</v>
      </c>
      <c r="L76">
        <f t="shared" ca="1" si="13"/>
        <v>70</v>
      </c>
      <c r="M76">
        <f t="shared" ca="1" si="14"/>
        <v>272</v>
      </c>
      <c r="N76">
        <f t="shared" ca="1" si="14"/>
        <v>246</v>
      </c>
      <c r="O76">
        <f t="shared" ca="1" si="11"/>
        <v>300</v>
      </c>
      <c r="P76">
        <f t="shared" ca="1" si="15"/>
        <v>1094</v>
      </c>
      <c r="Q76">
        <f t="shared" ca="1" si="16"/>
        <v>956</v>
      </c>
      <c r="R76">
        <f t="shared" ca="1" si="17"/>
        <v>438</v>
      </c>
      <c r="S76">
        <f t="shared" ca="1" si="18"/>
        <v>5624</v>
      </c>
      <c r="T76">
        <f t="shared" ca="1" si="19"/>
        <v>8963</v>
      </c>
      <c r="U76">
        <f t="shared" ca="1" si="20"/>
        <v>245</v>
      </c>
      <c r="V76">
        <v>0</v>
      </c>
      <c r="W76">
        <v>0</v>
      </c>
      <c r="X76">
        <f t="shared" ca="1" si="21"/>
        <v>-176</v>
      </c>
      <c r="Y76">
        <v>0</v>
      </c>
      <c r="Z76">
        <v>0</v>
      </c>
      <c r="AA76">
        <v>0</v>
      </c>
      <c r="AB76" t="s">
        <v>114</v>
      </c>
      <c r="AC76" t="s">
        <v>117</v>
      </c>
      <c r="AD76">
        <v>1</v>
      </c>
      <c r="AE76">
        <v>52</v>
      </c>
      <c r="AF76">
        <v>265</v>
      </c>
      <c r="AG76" t="s">
        <v>47</v>
      </c>
      <c r="AH76" t="s">
        <v>48</v>
      </c>
      <c r="AI76" t="s">
        <v>49</v>
      </c>
      <c r="AJ76" t="s">
        <v>50</v>
      </c>
      <c r="AK76" t="s">
        <v>51</v>
      </c>
      <c r="AL76">
        <v>3.6726999999999999</v>
      </c>
      <c r="AM76" t="s">
        <v>52</v>
      </c>
      <c r="AN76" t="s">
        <v>93</v>
      </c>
      <c r="AO76" t="s">
        <v>50</v>
      </c>
      <c r="AP76" t="s">
        <v>94</v>
      </c>
      <c r="AQ76" t="s">
        <v>55</v>
      </c>
    </row>
    <row r="77" spans="1:43" x14ac:dyDescent="0.3">
      <c r="A77" t="s">
        <v>43</v>
      </c>
      <c r="B77">
        <v>2020</v>
      </c>
      <c r="C77">
        <v>299</v>
      </c>
      <c r="D77">
        <v>5211</v>
      </c>
      <c r="E77">
        <v>30</v>
      </c>
      <c r="F77">
        <v>202305</v>
      </c>
      <c r="G77">
        <v>3200344</v>
      </c>
      <c r="H77" t="s">
        <v>81</v>
      </c>
      <c r="I77" t="s">
        <v>45</v>
      </c>
      <c r="J77">
        <v>7</v>
      </c>
      <c r="K77">
        <f t="shared" ca="1" si="12"/>
        <v>46</v>
      </c>
      <c r="L77">
        <f t="shared" ca="1" si="13"/>
        <v>24</v>
      </c>
      <c r="M77">
        <f t="shared" ca="1" si="14"/>
        <v>301</v>
      </c>
      <c r="N77">
        <f t="shared" ca="1" si="14"/>
        <v>77</v>
      </c>
      <c r="O77">
        <f t="shared" ca="1" si="11"/>
        <v>793</v>
      </c>
      <c r="P77">
        <f t="shared" ca="1" si="15"/>
        <v>869</v>
      </c>
      <c r="Q77">
        <f t="shared" ca="1" si="16"/>
        <v>584</v>
      </c>
      <c r="R77">
        <f t="shared" ca="1" si="17"/>
        <v>56</v>
      </c>
      <c r="S77">
        <f t="shared" ca="1" si="18"/>
        <v>10702</v>
      </c>
      <c r="T77">
        <f t="shared" ca="1" si="19"/>
        <v>2942</v>
      </c>
      <c r="U77">
        <f t="shared" ca="1" si="20"/>
        <v>267</v>
      </c>
      <c r="V77">
        <v>0</v>
      </c>
      <c r="W77">
        <v>0</v>
      </c>
      <c r="X77">
        <f t="shared" ca="1" si="21"/>
        <v>-371</v>
      </c>
      <c r="Y77">
        <v>0</v>
      </c>
      <c r="Z77">
        <v>0</v>
      </c>
      <c r="AA77">
        <v>88</v>
      </c>
      <c r="AB77" t="s">
        <v>114</v>
      </c>
      <c r="AC77" t="s">
        <v>118</v>
      </c>
      <c r="AD77">
        <v>1</v>
      </c>
      <c r="AE77">
        <v>52</v>
      </c>
      <c r="AF77">
        <v>265</v>
      </c>
      <c r="AG77" t="s">
        <v>47</v>
      </c>
      <c r="AH77" t="s">
        <v>48</v>
      </c>
      <c r="AI77" t="s">
        <v>49</v>
      </c>
      <c r="AJ77" t="s">
        <v>50</v>
      </c>
      <c r="AK77" t="s">
        <v>51</v>
      </c>
      <c r="AL77">
        <v>3.6726999999999999</v>
      </c>
      <c r="AM77" t="s">
        <v>52</v>
      </c>
      <c r="AN77" t="s">
        <v>93</v>
      </c>
      <c r="AO77" t="s">
        <v>50</v>
      </c>
      <c r="AP77" t="s">
        <v>94</v>
      </c>
      <c r="AQ77" t="s">
        <v>55</v>
      </c>
    </row>
    <row r="78" spans="1:43" x14ac:dyDescent="0.3">
      <c r="A78" t="s">
        <v>43</v>
      </c>
      <c r="B78">
        <v>2020</v>
      </c>
      <c r="C78">
        <v>299</v>
      </c>
      <c r="D78">
        <v>5211</v>
      </c>
      <c r="E78">
        <v>30</v>
      </c>
      <c r="F78">
        <v>202305</v>
      </c>
      <c r="G78">
        <v>3200345</v>
      </c>
      <c r="H78" t="s">
        <v>81</v>
      </c>
      <c r="I78" t="s">
        <v>45</v>
      </c>
      <c r="J78">
        <v>7</v>
      </c>
      <c r="K78">
        <f t="shared" ca="1" si="12"/>
        <v>31</v>
      </c>
      <c r="L78">
        <f t="shared" ca="1" si="13"/>
        <v>14</v>
      </c>
      <c r="M78">
        <f t="shared" ca="1" si="14"/>
        <v>440</v>
      </c>
      <c r="N78">
        <f t="shared" ca="1" si="14"/>
        <v>340</v>
      </c>
      <c r="O78">
        <f t="shared" ca="1" si="11"/>
        <v>891</v>
      </c>
      <c r="P78">
        <f t="shared" ca="1" si="15"/>
        <v>1228</v>
      </c>
      <c r="Q78">
        <f t="shared" ca="1" si="16"/>
        <v>191</v>
      </c>
      <c r="R78">
        <f t="shared" ca="1" si="17"/>
        <v>52</v>
      </c>
      <c r="S78">
        <f t="shared" ca="1" si="18"/>
        <v>8027</v>
      </c>
      <c r="T78">
        <f t="shared" ca="1" si="19"/>
        <v>5745</v>
      </c>
      <c r="U78">
        <f t="shared" ca="1" si="20"/>
        <v>1217</v>
      </c>
      <c r="V78">
        <v>0</v>
      </c>
      <c r="W78">
        <v>0</v>
      </c>
      <c r="X78">
        <f t="shared" ca="1" si="21"/>
        <v>-407</v>
      </c>
      <c r="Y78">
        <v>0</v>
      </c>
      <c r="Z78">
        <v>29</v>
      </c>
      <c r="AA78">
        <v>100</v>
      </c>
      <c r="AB78" t="s">
        <v>114</v>
      </c>
      <c r="AC78" t="s">
        <v>119</v>
      </c>
      <c r="AD78">
        <v>1</v>
      </c>
      <c r="AE78">
        <v>52</v>
      </c>
      <c r="AF78">
        <v>265</v>
      </c>
      <c r="AG78" t="s">
        <v>47</v>
      </c>
      <c r="AH78" t="s">
        <v>48</v>
      </c>
      <c r="AI78" t="s">
        <v>49</v>
      </c>
      <c r="AJ78" t="s">
        <v>50</v>
      </c>
      <c r="AK78" t="s">
        <v>51</v>
      </c>
      <c r="AL78">
        <v>3.6726999999999999</v>
      </c>
      <c r="AM78" t="s">
        <v>52</v>
      </c>
      <c r="AN78" t="s">
        <v>93</v>
      </c>
      <c r="AO78" t="s">
        <v>50</v>
      </c>
      <c r="AP78" t="s">
        <v>94</v>
      </c>
      <c r="AQ78" t="s">
        <v>55</v>
      </c>
    </row>
    <row r="79" spans="1:43" x14ac:dyDescent="0.3">
      <c r="A79" t="s">
        <v>43</v>
      </c>
      <c r="B79">
        <v>2020</v>
      </c>
      <c r="C79">
        <v>299</v>
      </c>
      <c r="D79">
        <v>5211</v>
      </c>
      <c r="E79">
        <v>30</v>
      </c>
      <c r="F79">
        <v>202305</v>
      </c>
      <c r="G79">
        <v>3200400</v>
      </c>
      <c r="H79" t="s">
        <v>81</v>
      </c>
      <c r="I79" t="s">
        <v>45</v>
      </c>
      <c r="J79">
        <v>7</v>
      </c>
      <c r="K79">
        <f t="shared" ca="1" si="12"/>
        <v>87</v>
      </c>
      <c r="L79">
        <f t="shared" ca="1" si="13"/>
        <v>-2</v>
      </c>
      <c r="M79">
        <f t="shared" ca="1" si="14"/>
        <v>-64</v>
      </c>
      <c r="N79">
        <f t="shared" ca="1" si="14"/>
        <v>25</v>
      </c>
      <c r="O79">
        <f t="shared" ca="1" si="11"/>
        <v>958</v>
      </c>
      <c r="P79">
        <f t="shared" ca="1" si="15"/>
        <v>781</v>
      </c>
      <c r="Q79">
        <f t="shared" ca="1" si="16"/>
        <v>689</v>
      </c>
      <c r="R79">
        <f t="shared" ca="1" si="17"/>
        <v>-44</v>
      </c>
      <c r="S79">
        <f t="shared" ca="1" si="18"/>
        <v>14927</v>
      </c>
      <c r="T79">
        <f t="shared" ca="1" si="19"/>
        <v>2394</v>
      </c>
      <c r="U79">
        <f t="shared" ca="1" si="20"/>
        <v>861</v>
      </c>
      <c r="V79">
        <v>0</v>
      </c>
      <c r="W79">
        <v>0</v>
      </c>
      <c r="X79">
        <f t="shared" ca="1" si="21"/>
        <v>-174</v>
      </c>
      <c r="Y79">
        <v>0</v>
      </c>
      <c r="Z79">
        <v>822</v>
      </c>
      <c r="AA79">
        <v>100</v>
      </c>
      <c r="AB79" t="s">
        <v>114</v>
      </c>
      <c r="AC79" t="s">
        <v>120</v>
      </c>
      <c r="AD79">
        <v>1</v>
      </c>
      <c r="AE79">
        <v>52</v>
      </c>
      <c r="AF79">
        <v>265</v>
      </c>
      <c r="AG79" t="s">
        <v>47</v>
      </c>
      <c r="AH79" t="s">
        <v>48</v>
      </c>
      <c r="AI79" t="s">
        <v>49</v>
      </c>
      <c r="AJ79" t="s">
        <v>50</v>
      </c>
      <c r="AK79" t="s">
        <v>51</v>
      </c>
      <c r="AL79">
        <v>3.6726999999999999</v>
      </c>
      <c r="AM79" t="s">
        <v>52</v>
      </c>
      <c r="AN79" t="s">
        <v>93</v>
      </c>
      <c r="AO79" t="s">
        <v>50</v>
      </c>
      <c r="AP79" t="s">
        <v>94</v>
      </c>
      <c r="AQ79" t="s">
        <v>55</v>
      </c>
    </row>
    <row r="80" spans="1:43" x14ac:dyDescent="0.3">
      <c r="A80" t="s">
        <v>43</v>
      </c>
      <c r="B80">
        <v>2020</v>
      </c>
      <c r="C80">
        <v>299</v>
      </c>
      <c r="D80">
        <v>5211</v>
      </c>
      <c r="E80">
        <v>30</v>
      </c>
      <c r="F80">
        <v>202305</v>
      </c>
      <c r="G80">
        <v>3300347</v>
      </c>
      <c r="H80" t="s">
        <v>81</v>
      </c>
      <c r="I80" t="s">
        <v>45</v>
      </c>
      <c r="J80">
        <v>7</v>
      </c>
      <c r="K80">
        <f t="shared" ca="1" si="12"/>
        <v>5</v>
      </c>
      <c r="L80">
        <f t="shared" ca="1" si="13"/>
        <v>81</v>
      </c>
      <c r="M80">
        <f t="shared" ca="1" si="14"/>
        <v>284</v>
      </c>
      <c r="N80">
        <f t="shared" ca="1" si="14"/>
        <v>164</v>
      </c>
      <c r="O80">
        <f t="shared" ca="1" si="11"/>
        <v>-75</v>
      </c>
      <c r="P80">
        <f t="shared" ca="1" si="15"/>
        <v>817</v>
      </c>
      <c r="Q80">
        <f t="shared" ca="1" si="16"/>
        <v>673</v>
      </c>
      <c r="R80">
        <f t="shared" ca="1" si="17"/>
        <v>251</v>
      </c>
      <c r="S80">
        <f t="shared" ca="1" si="18"/>
        <v>12766</v>
      </c>
      <c r="T80">
        <f t="shared" ca="1" si="19"/>
        <v>3065</v>
      </c>
      <c r="U80">
        <f t="shared" ca="1" si="20"/>
        <v>149</v>
      </c>
      <c r="V80">
        <v>0</v>
      </c>
      <c r="W80">
        <v>0</v>
      </c>
      <c r="X80">
        <f t="shared" ca="1" si="21"/>
        <v>-168</v>
      </c>
      <c r="Y80">
        <v>0</v>
      </c>
      <c r="Z80">
        <v>0</v>
      </c>
      <c r="AA80">
        <v>19</v>
      </c>
      <c r="AB80" t="s">
        <v>91</v>
      </c>
      <c r="AC80" t="s">
        <v>92</v>
      </c>
      <c r="AD80">
        <v>1</v>
      </c>
      <c r="AE80">
        <v>52</v>
      </c>
      <c r="AF80">
        <v>265</v>
      </c>
      <c r="AG80" t="s">
        <v>47</v>
      </c>
      <c r="AH80" t="s">
        <v>48</v>
      </c>
      <c r="AI80" t="s">
        <v>49</v>
      </c>
      <c r="AJ80" t="s">
        <v>50</v>
      </c>
      <c r="AK80" t="s">
        <v>51</v>
      </c>
      <c r="AL80">
        <v>3.6726999999999999</v>
      </c>
      <c r="AM80" t="s">
        <v>52</v>
      </c>
      <c r="AN80" t="s">
        <v>93</v>
      </c>
      <c r="AO80" t="s">
        <v>50</v>
      </c>
      <c r="AP80" t="s">
        <v>94</v>
      </c>
      <c r="AQ80" t="s">
        <v>55</v>
      </c>
    </row>
    <row r="81" spans="1:43" x14ac:dyDescent="0.3">
      <c r="A81" t="s">
        <v>43</v>
      </c>
      <c r="B81">
        <v>2020</v>
      </c>
      <c r="C81">
        <v>299</v>
      </c>
      <c r="D81">
        <v>5211</v>
      </c>
      <c r="E81">
        <v>30</v>
      </c>
      <c r="F81">
        <v>202305</v>
      </c>
      <c r="G81">
        <v>3300351</v>
      </c>
      <c r="H81" t="s">
        <v>81</v>
      </c>
      <c r="I81" t="s">
        <v>45</v>
      </c>
      <c r="J81">
        <v>7</v>
      </c>
      <c r="K81">
        <f t="shared" ca="1" si="12"/>
        <v>100</v>
      </c>
      <c r="L81">
        <f t="shared" ca="1" si="13"/>
        <v>92</v>
      </c>
      <c r="M81">
        <f t="shared" ca="1" si="14"/>
        <v>105</v>
      </c>
      <c r="N81">
        <f t="shared" ca="1" si="14"/>
        <v>204</v>
      </c>
      <c r="O81">
        <f t="shared" ca="1" si="11"/>
        <v>381</v>
      </c>
      <c r="P81">
        <f t="shared" ca="1" si="15"/>
        <v>595</v>
      </c>
      <c r="Q81">
        <f t="shared" ca="1" si="16"/>
        <v>1073</v>
      </c>
      <c r="R81">
        <f t="shared" ca="1" si="17"/>
        <v>87</v>
      </c>
      <c r="S81">
        <f t="shared" ca="1" si="18"/>
        <v>12602</v>
      </c>
      <c r="T81">
        <f t="shared" ca="1" si="19"/>
        <v>8812</v>
      </c>
      <c r="U81">
        <f t="shared" ca="1" si="20"/>
        <v>1137</v>
      </c>
      <c r="V81">
        <v>0</v>
      </c>
      <c r="W81">
        <v>0</v>
      </c>
      <c r="X81">
        <f t="shared" ca="1" si="21"/>
        <v>-251</v>
      </c>
      <c r="Y81">
        <v>0</v>
      </c>
      <c r="Z81">
        <v>0</v>
      </c>
      <c r="AA81">
        <v>92</v>
      </c>
      <c r="AB81" t="s">
        <v>91</v>
      </c>
      <c r="AC81" t="s">
        <v>121</v>
      </c>
      <c r="AD81">
        <v>1</v>
      </c>
      <c r="AE81">
        <v>52</v>
      </c>
      <c r="AF81">
        <v>265</v>
      </c>
      <c r="AG81" t="s">
        <v>47</v>
      </c>
      <c r="AH81" t="s">
        <v>48</v>
      </c>
      <c r="AI81" t="s">
        <v>49</v>
      </c>
      <c r="AJ81" t="s">
        <v>50</v>
      </c>
      <c r="AK81" t="s">
        <v>51</v>
      </c>
      <c r="AL81">
        <v>3.6726999999999999</v>
      </c>
      <c r="AM81" t="s">
        <v>52</v>
      </c>
      <c r="AN81" t="s">
        <v>93</v>
      </c>
      <c r="AO81" t="s">
        <v>50</v>
      </c>
      <c r="AP81" t="s">
        <v>94</v>
      </c>
      <c r="AQ81" t="s">
        <v>55</v>
      </c>
    </row>
    <row r="82" spans="1:43" x14ac:dyDescent="0.3">
      <c r="A82" t="s">
        <v>43</v>
      </c>
      <c r="B82">
        <v>2020</v>
      </c>
      <c r="C82">
        <v>299</v>
      </c>
      <c r="D82">
        <v>5211</v>
      </c>
      <c r="E82">
        <v>30</v>
      </c>
      <c r="F82">
        <v>202305</v>
      </c>
      <c r="G82">
        <v>5000507</v>
      </c>
      <c r="H82" t="s">
        <v>81</v>
      </c>
      <c r="I82" t="s">
        <v>45</v>
      </c>
      <c r="J82">
        <v>7</v>
      </c>
      <c r="K82">
        <f t="shared" ca="1" si="12"/>
        <v>32</v>
      </c>
      <c r="L82">
        <f t="shared" ca="1" si="13"/>
        <v>-20</v>
      </c>
      <c r="M82">
        <f t="shared" ca="1" si="14"/>
        <v>299</v>
      </c>
      <c r="N82">
        <f t="shared" ca="1" si="14"/>
        <v>-9</v>
      </c>
      <c r="O82">
        <f t="shared" ca="1" si="11"/>
        <v>-27</v>
      </c>
      <c r="P82">
        <f t="shared" ca="1" si="15"/>
        <v>830</v>
      </c>
      <c r="Q82">
        <f t="shared" ca="1" si="16"/>
        <v>222</v>
      </c>
      <c r="R82">
        <f t="shared" ca="1" si="17"/>
        <v>131</v>
      </c>
      <c r="S82">
        <f t="shared" ca="1" si="18"/>
        <v>5098</v>
      </c>
      <c r="T82">
        <f t="shared" ca="1" si="19"/>
        <v>7224</v>
      </c>
      <c r="U82">
        <f t="shared" ca="1" si="20"/>
        <v>617</v>
      </c>
      <c r="V82">
        <v>0</v>
      </c>
      <c r="W82">
        <v>0</v>
      </c>
      <c r="X82">
        <f t="shared" ca="1" si="21"/>
        <v>-136</v>
      </c>
      <c r="Y82">
        <v>0</v>
      </c>
      <c r="Z82">
        <v>0</v>
      </c>
      <c r="AA82">
        <v>0</v>
      </c>
      <c r="AB82" t="s">
        <v>122</v>
      </c>
      <c r="AC82" t="s">
        <v>123</v>
      </c>
      <c r="AD82">
        <v>1</v>
      </c>
      <c r="AE82">
        <v>52</v>
      </c>
      <c r="AF82">
        <v>265</v>
      </c>
      <c r="AG82" t="s">
        <v>47</v>
      </c>
      <c r="AH82" t="s">
        <v>48</v>
      </c>
      <c r="AI82" t="s">
        <v>49</v>
      </c>
      <c r="AJ82" t="s">
        <v>50</v>
      </c>
      <c r="AK82" t="s">
        <v>51</v>
      </c>
      <c r="AL82">
        <v>3.6726999999999999</v>
      </c>
      <c r="AM82" t="s">
        <v>52</v>
      </c>
      <c r="AN82" t="s">
        <v>93</v>
      </c>
      <c r="AO82" t="s">
        <v>50</v>
      </c>
      <c r="AP82" t="s">
        <v>94</v>
      </c>
      <c r="AQ82" t="s">
        <v>55</v>
      </c>
    </row>
    <row r="83" spans="1:43" x14ac:dyDescent="0.3">
      <c r="A83" t="s">
        <v>43</v>
      </c>
      <c r="B83">
        <v>2020</v>
      </c>
      <c r="C83">
        <v>299</v>
      </c>
      <c r="D83">
        <v>5212</v>
      </c>
      <c r="E83">
        <v>9</v>
      </c>
      <c r="F83">
        <v>202305</v>
      </c>
      <c r="G83">
        <v>1</v>
      </c>
      <c r="H83" t="s">
        <v>77</v>
      </c>
      <c r="I83" t="s">
        <v>45</v>
      </c>
      <c r="J83">
        <v>2</v>
      </c>
      <c r="K83">
        <f t="shared" ca="1" si="12"/>
        <v>47</v>
      </c>
      <c r="L83">
        <f t="shared" ca="1" si="13"/>
        <v>-3</v>
      </c>
      <c r="M83">
        <f t="shared" ca="1" si="14"/>
        <v>290</v>
      </c>
      <c r="N83">
        <f t="shared" ca="1" si="14"/>
        <v>447</v>
      </c>
      <c r="O83">
        <f t="shared" ca="1" si="11"/>
        <v>552</v>
      </c>
      <c r="P83">
        <f t="shared" ca="1" si="15"/>
        <v>-334</v>
      </c>
      <c r="Q83">
        <f t="shared" ca="1" si="16"/>
        <v>403</v>
      </c>
      <c r="R83">
        <f t="shared" ca="1" si="17"/>
        <v>183</v>
      </c>
      <c r="S83">
        <f t="shared" ca="1" si="18"/>
        <v>4527</v>
      </c>
      <c r="T83">
        <f t="shared" ca="1" si="19"/>
        <v>9581</v>
      </c>
      <c r="U83">
        <f t="shared" ca="1" si="20"/>
        <v>1278</v>
      </c>
      <c r="V83">
        <v>0</v>
      </c>
      <c r="W83">
        <v>0</v>
      </c>
      <c r="X83">
        <f t="shared" ca="1" si="21"/>
        <v>-369</v>
      </c>
      <c r="Y83">
        <v>0</v>
      </c>
      <c r="Z83">
        <v>14</v>
      </c>
      <c r="AA83">
        <v>102</v>
      </c>
      <c r="AB83" t="s">
        <v>57</v>
      </c>
      <c r="AD83">
        <v>1</v>
      </c>
      <c r="AE83">
        <v>52</v>
      </c>
      <c r="AF83">
        <v>265</v>
      </c>
      <c r="AG83" t="s">
        <v>47</v>
      </c>
      <c r="AH83" t="s">
        <v>48</v>
      </c>
      <c r="AI83" t="s">
        <v>49</v>
      </c>
      <c r="AJ83" t="s">
        <v>50</v>
      </c>
      <c r="AK83" t="s">
        <v>51</v>
      </c>
      <c r="AL83">
        <v>3.6726999999999999</v>
      </c>
      <c r="AM83" t="s">
        <v>52</v>
      </c>
      <c r="AN83" t="s">
        <v>124</v>
      </c>
      <c r="AO83" t="s">
        <v>78</v>
      </c>
      <c r="AP83" t="s">
        <v>48</v>
      </c>
      <c r="AQ83" t="s">
        <v>55</v>
      </c>
    </row>
    <row r="84" spans="1:43" x14ac:dyDescent="0.3">
      <c r="A84" t="s">
        <v>43</v>
      </c>
      <c r="B84">
        <v>2020</v>
      </c>
      <c r="C84">
        <v>299</v>
      </c>
      <c r="D84">
        <v>5311</v>
      </c>
      <c r="E84">
        <v>20</v>
      </c>
      <c r="F84">
        <v>202305</v>
      </c>
      <c r="G84">
        <v>2100203</v>
      </c>
      <c r="H84" t="s">
        <v>125</v>
      </c>
      <c r="I84" t="s">
        <v>45</v>
      </c>
      <c r="J84">
        <v>7</v>
      </c>
      <c r="K84">
        <f t="shared" ca="1" si="12"/>
        <v>52</v>
      </c>
      <c r="L84">
        <f t="shared" ca="1" si="13"/>
        <v>98</v>
      </c>
      <c r="M84">
        <f t="shared" ca="1" si="14"/>
        <v>442</v>
      </c>
      <c r="N84">
        <f t="shared" ca="1" si="14"/>
        <v>242</v>
      </c>
      <c r="O84">
        <f t="shared" ca="1" si="11"/>
        <v>589</v>
      </c>
      <c r="P84">
        <f t="shared" ca="1" si="15"/>
        <v>185</v>
      </c>
      <c r="Q84">
        <f t="shared" ca="1" si="16"/>
        <v>714</v>
      </c>
      <c r="R84">
        <f t="shared" ca="1" si="17"/>
        <v>168</v>
      </c>
      <c r="S84">
        <f t="shared" ca="1" si="18"/>
        <v>3831</v>
      </c>
      <c r="T84">
        <f t="shared" ca="1" si="19"/>
        <v>1213</v>
      </c>
      <c r="U84">
        <f t="shared" ca="1" si="20"/>
        <v>905</v>
      </c>
      <c r="V84">
        <v>0</v>
      </c>
      <c r="W84">
        <v>0</v>
      </c>
      <c r="X84">
        <f t="shared" ca="1" si="21"/>
        <v>-271</v>
      </c>
      <c r="Y84">
        <v>0</v>
      </c>
      <c r="Z84">
        <v>0</v>
      </c>
      <c r="AA84">
        <v>96</v>
      </c>
      <c r="AB84" t="s">
        <v>126</v>
      </c>
      <c r="AC84" t="s">
        <v>127</v>
      </c>
      <c r="AD84">
        <v>1</v>
      </c>
      <c r="AE84">
        <v>52</v>
      </c>
      <c r="AF84">
        <v>265</v>
      </c>
      <c r="AG84" t="s">
        <v>47</v>
      </c>
      <c r="AH84" t="s">
        <v>48</v>
      </c>
      <c r="AI84" t="s">
        <v>49</v>
      </c>
      <c r="AJ84" t="s">
        <v>50</v>
      </c>
      <c r="AK84" t="s">
        <v>51</v>
      </c>
      <c r="AL84">
        <v>3.6726999999999999</v>
      </c>
      <c r="AM84" t="s">
        <v>52</v>
      </c>
      <c r="AN84" t="s">
        <v>128</v>
      </c>
      <c r="AO84" t="s">
        <v>129</v>
      </c>
      <c r="AP84" t="s">
        <v>130</v>
      </c>
      <c r="AQ84" t="s">
        <v>55</v>
      </c>
    </row>
    <row r="85" spans="1:43" x14ac:dyDescent="0.3">
      <c r="A85" t="s">
        <v>43</v>
      </c>
      <c r="B85">
        <v>2020</v>
      </c>
      <c r="C85">
        <v>299</v>
      </c>
      <c r="D85">
        <v>5311</v>
      </c>
      <c r="E85">
        <v>20</v>
      </c>
      <c r="F85">
        <v>202305</v>
      </c>
      <c r="G85">
        <v>2100206</v>
      </c>
      <c r="H85" t="s">
        <v>125</v>
      </c>
      <c r="I85" t="s">
        <v>45</v>
      </c>
      <c r="J85">
        <v>7</v>
      </c>
      <c r="K85">
        <f t="shared" ca="1" si="12"/>
        <v>52</v>
      </c>
      <c r="L85">
        <f t="shared" ca="1" si="13"/>
        <v>-63</v>
      </c>
      <c r="M85">
        <f t="shared" ca="1" si="14"/>
        <v>463</v>
      </c>
      <c r="N85">
        <f t="shared" ca="1" si="14"/>
        <v>257</v>
      </c>
      <c r="O85">
        <f t="shared" ca="1" si="11"/>
        <v>15</v>
      </c>
      <c r="P85">
        <f t="shared" ca="1" si="15"/>
        <v>138</v>
      </c>
      <c r="Q85">
        <f t="shared" ca="1" si="16"/>
        <v>1178</v>
      </c>
      <c r="R85">
        <f t="shared" ca="1" si="17"/>
        <v>8</v>
      </c>
      <c r="S85">
        <f t="shared" ca="1" si="18"/>
        <v>8261</v>
      </c>
      <c r="T85">
        <f t="shared" ca="1" si="19"/>
        <v>3584</v>
      </c>
      <c r="U85">
        <f t="shared" ca="1" si="20"/>
        <v>1234</v>
      </c>
      <c r="V85">
        <v>0</v>
      </c>
      <c r="W85">
        <v>0</v>
      </c>
      <c r="X85">
        <f t="shared" ca="1" si="21"/>
        <v>88</v>
      </c>
      <c r="Y85">
        <v>0</v>
      </c>
      <c r="Z85">
        <v>0</v>
      </c>
      <c r="AA85">
        <v>99</v>
      </c>
      <c r="AB85" t="s">
        <v>126</v>
      </c>
      <c r="AC85" t="s">
        <v>131</v>
      </c>
      <c r="AD85">
        <v>1</v>
      </c>
      <c r="AE85">
        <v>52</v>
      </c>
      <c r="AF85">
        <v>265</v>
      </c>
      <c r="AG85" t="s">
        <v>47</v>
      </c>
      <c r="AH85" t="s">
        <v>48</v>
      </c>
      <c r="AI85" t="s">
        <v>49</v>
      </c>
      <c r="AJ85" t="s">
        <v>50</v>
      </c>
      <c r="AK85" t="s">
        <v>51</v>
      </c>
      <c r="AL85">
        <v>3.6726999999999999</v>
      </c>
      <c r="AM85" t="s">
        <v>52</v>
      </c>
      <c r="AN85" t="s">
        <v>128</v>
      </c>
      <c r="AO85" t="s">
        <v>129</v>
      </c>
      <c r="AP85" t="s">
        <v>130</v>
      </c>
      <c r="AQ85" t="s">
        <v>55</v>
      </c>
    </row>
    <row r="86" spans="1:43" x14ac:dyDescent="0.3">
      <c r="A86" t="s">
        <v>43</v>
      </c>
      <c r="B86">
        <v>2020</v>
      </c>
      <c r="C86">
        <v>299</v>
      </c>
      <c r="D86">
        <v>5311</v>
      </c>
      <c r="E86">
        <v>20</v>
      </c>
      <c r="F86">
        <v>202305</v>
      </c>
      <c r="G86">
        <v>2300215</v>
      </c>
      <c r="H86" t="s">
        <v>125</v>
      </c>
      <c r="I86" t="s">
        <v>45</v>
      </c>
      <c r="J86">
        <v>7</v>
      </c>
      <c r="K86">
        <f t="shared" ca="1" si="12"/>
        <v>54</v>
      </c>
      <c r="L86">
        <f t="shared" ca="1" si="13"/>
        <v>16</v>
      </c>
      <c r="M86">
        <f t="shared" ca="1" si="14"/>
        <v>173</v>
      </c>
      <c r="N86">
        <f t="shared" ca="1" si="14"/>
        <v>111</v>
      </c>
      <c r="O86">
        <f t="shared" ca="1" si="11"/>
        <v>346</v>
      </c>
      <c r="P86">
        <f t="shared" ca="1" si="15"/>
        <v>-475</v>
      </c>
      <c r="Q86">
        <f t="shared" ca="1" si="16"/>
        <v>1093</v>
      </c>
      <c r="R86">
        <f t="shared" ca="1" si="17"/>
        <v>21</v>
      </c>
      <c r="S86">
        <f t="shared" ca="1" si="18"/>
        <v>5630</v>
      </c>
      <c r="T86">
        <f t="shared" ca="1" si="19"/>
        <v>4072</v>
      </c>
      <c r="U86">
        <f t="shared" ca="1" si="20"/>
        <v>27</v>
      </c>
      <c r="V86">
        <v>0</v>
      </c>
      <c r="W86">
        <v>0</v>
      </c>
      <c r="X86">
        <f t="shared" ca="1" si="21"/>
        <v>86</v>
      </c>
      <c r="Y86">
        <v>0</v>
      </c>
      <c r="Z86">
        <v>12</v>
      </c>
      <c r="AA86">
        <v>100</v>
      </c>
      <c r="AB86" t="s">
        <v>132</v>
      </c>
      <c r="AC86" t="s">
        <v>133</v>
      </c>
      <c r="AD86">
        <v>1</v>
      </c>
      <c r="AE86">
        <v>52</v>
      </c>
      <c r="AF86">
        <v>265</v>
      </c>
      <c r="AG86" t="s">
        <v>47</v>
      </c>
      <c r="AH86" t="s">
        <v>48</v>
      </c>
      <c r="AI86" t="s">
        <v>49</v>
      </c>
      <c r="AJ86" t="s">
        <v>50</v>
      </c>
      <c r="AK86" t="s">
        <v>51</v>
      </c>
      <c r="AL86">
        <v>3.6726999999999999</v>
      </c>
      <c r="AM86" t="s">
        <v>52</v>
      </c>
      <c r="AN86" t="s">
        <v>128</v>
      </c>
      <c r="AO86" t="s">
        <v>129</v>
      </c>
      <c r="AP86" t="s">
        <v>130</v>
      </c>
      <c r="AQ86" t="s">
        <v>55</v>
      </c>
    </row>
    <row r="87" spans="1:43" x14ac:dyDescent="0.3">
      <c r="A87" t="s">
        <v>43</v>
      </c>
      <c r="B87">
        <v>2020</v>
      </c>
      <c r="C87">
        <v>299</v>
      </c>
      <c r="D87">
        <v>5311</v>
      </c>
      <c r="E87">
        <v>20</v>
      </c>
      <c r="F87">
        <v>202305</v>
      </c>
      <c r="G87">
        <v>2300217</v>
      </c>
      <c r="H87" t="s">
        <v>125</v>
      </c>
      <c r="I87" t="s">
        <v>45</v>
      </c>
      <c r="J87">
        <v>7</v>
      </c>
      <c r="K87">
        <f t="shared" ca="1" si="12"/>
        <v>62</v>
      </c>
      <c r="L87">
        <f t="shared" ca="1" si="13"/>
        <v>-47</v>
      </c>
      <c r="M87">
        <f t="shared" ca="1" si="14"/>
        <v>98</v>
      </c>
      <c r="N87">
        <f t="shared" ca="1" si="14"/>
        <v>266</v>
      </c>
      <c r="O87">
        <f t="shared" ca="1" si="11"/>
        <v>60</v>
      </c>
      <c r="P87">
        <f t="shared" ca="1" si="15"/>
        <v>-376</v>
      </c>
      <c r="Q87">
        <f t="shared" ca="1" si="16"/>
        <v>587</v>
      </c>
      <c r="R87">
        <f t="shared" ca="1" si="17"/>
        <v>-21</v>
      </c>
      <c r="S87">
        <f t="shared" ca="1" si="18"/>
        <v>12580</v>
      </c>
      <c r="T87">
        <f t="shared" ca="1" si="19"/>
        <v>4093</v>
      </c>
      <c r="U87">
        <f t="shared" ca="1" si="20"/>
        <v>532</v>
      </c>
      <c r="V87">
        <v>0</v>
      </c>
      <c r="W87">
        <v>0</v>
      </c>
      <c r="X87">
        <f t="shared" ca="1" si="21"/>
        <v>-194</v>
      </c>
      <c r="Y87">
        <v>0</v>
      </c>
      <c r="Z87">
        <v>0</v>
      </c>
      <c r="AA87">
        <v>100</v>
      </c>
      <c r="AB87" t="s">
        <v>132</v>
      </c>
      <c r="AC87" t="s">
        <v>134</v>
      </c>
      <c r="AD87">
        <v>1</v>
      </c>
      <c r="AE87">
        <v>52</v>
      </c>
      <c r="AF87">
        <v>265</v>
      </c>
      <c r="AG87" t="s">
        <v>47</v>
      </c>
      <c r="AH87" t="s">
        <v>48</v>
      </c>
      <c r="AI87" t="s">
        <v>49</v>
      </c>
      <c r="AJ87" t="s">
        <v>50</v>
      </c>
      <c r="AK87" t="s">
        <v>51</v>
      </c>
      <c r="AL87">
        <v>3.6726999999999999</v>
      </c>
      <c r="AM87" t="s">
        <v>52</v>
      </c>
      <c r="AN87" t="s">
        <v>128</v>
      </c>
      <c r="AO87" t="s">
        <v>129</v>
      </c>
      <c r="AP87" t="s">
        <v>130</v>
      </c>
      <c r="AQ87" t="s">
        <v>55</v>
      </c>
    </row>
    <row r="88" spans="1:43" x14ac:dyDescent="0.3">
      <c r="A88" t="s">
        <v>43</v>
      </c>
      <c r="B88">
        <v>2020</v>
      </c>
      <c r="C88">
        <v>299</v>
      </c>
      <c r="D88">
        <v>5311</v>
      </c>
      <c r="E88">
        <v>20</v>
      </c>
      <c r="F88">
        <v>202305</v>
      </c>
      <c r="G88">
        <v>2300222</v>
      </c>
      <c r="H88" t="s">
        <v>125</v>
      </c>
      <c r="I88" t="s">
        <v>45</v>
      </c>
      <c r="J88">
        <v>7</v>
      </c>
      <c r="K88">
        <f t="shared" ca="1" si="12"/>
        <v>10</v>
      </c>
      <c r="L88">
        <f t="shared" ca="1" si="13"/>
        <v>64</v>
      </c>
      <c r="M88">
        <f t="shared" ca="1" si="14"/>
        <v>-31</v>
      </c>
      <c r="N88">
        <f t="shared" ca="1" si="14"/>
        <v>421</v>
      </c>
      <c r="O88">
        <f t="shared" ca="1" si="11"/>
        <v>122</v>
      </c>
      <c r="P88">
        <f t="shared" ca="1" si="15"/>
        <v>147</v>
      </c>
      <c r="Q88">
        <f t="shared" ca="1" si="16"/>
        <v>1060</v>
      </c>
      <c r="R88">
        <f t="shared" ca="1" si="17"/>
        <v>-3</v>
      </c>
      <c r="S88">
        <f t="shared" ca="1" si="18"/>
        <v>5814</v>
      </c>
      <c r="T88">
        <f t="shared" ca="1" si="19"/>
        <v>3859</v>
      </c>
      <c r="U88">
        <f t="shared" ca="1" si="20"/>
        <v>935</v>
      </c>
      <c r="V88">
        <v>0</v>
      </c>
      <c r="W88">
        <v>0</v>
      </c>
      <c r="X88">
        <f t="shared" ca="1" si="21"/>
        <v>6</v>
      </c>
      <c r="Y88">
        <v>0</v>
      </c>
      <c r="Z88">
        <v>0</v>
      </c>
      <c r="AA88">
        <v>0</v>
      </c>
      <c r="AB88" t="s">
        <v>132</v>
      </c>
      <c r="AC88" t="s">
        <v>135</v>
      </c>
      <c r="AD88">
        <v>1</v>
      </c>
      <c r="AE88">
        <v>52</v>
      </c>
      <c r="AF88">
        <v>265</v>
      </c>
      <c r="AG88" t="s">
        <v>47</v>
      </c>
      <c r="AH88" t="s">
        <v>48</v>
      </c>
      <c r="AI88" t="s">
        <v>49</v>
      </c>
      <c r="AJ88" t="s">
        <v>50</v>
      </c>
      <c r="AK88" t="s">
        <v>51</v>
      </c>
      <c r="AL88">
        <v>3.6726999999999999</v>
      </c>
      <c r="AM88" t="s">
        <v>52</v>
      </c>
      <c r="AN88" t="s">
        <v>128</v>
      </c>
      <c r="AO88" t="s">
        <v>129</v>
      </c>
      <c r="AP88" t="s">
        <v>130</v>
      </c>
      <c r="AQ88" t="s">
        <v>55</v>
      </c>
    </row>
    <row r="89" spans="1:43" x14ac:dyDescent="0.3">
      <c r="A89" t="s">
        <v>43</v>
      </c>
      <c r="B89">
        <v>2020</v>
      </c>
      <c r="C89">
        <v>299</v>
      </c>
      <c r="D89">
        <v>5311</v>
      </c>
      <c r="E89">
        <v>20</v>
      </c>
      <c r="F89">
        <v>202305</v>
      </c>
      <c r="G89">
        <v>2700246</v>
      </c>
      <c r="H89" t="s">
        <v>125</v>
      </c>
      <c r="I89" t="s">
        <v>45</v>
      </c>
      <c r="J89">
        <v>7</v>
      </c>
      <c r="K89">
        <f t="shared" ca="1" si="12"/>
        <v>1</v>
      </c>
      <c r="L89">
        <f t="shared" ca="1" si="13"/>
        <v>98</v>
      </c>
      <c r="M89">
        <f t="shared" ca="1" si="14"/>
        <v>398</v>
      </c>
      <c r="N89">
        <f t="shared" ca="1" si="14"/>
        <v>333</v>
      </c>
      <c r="O89">
        <f t="shared" ca="1" si="11"/>
        <v>205</v>
      </c>
      <c r="P89">
        <f t="shared" ca="1" si="15"/>
        <v>633</v>
      </c>
      <c r="Q89">
        <f t="shared" ca="1" si="16"/>
        <v>1169</v>
      </c>
      <c r="R89">
        <f t="shared" ca="1" si="17"/>
        <v>-71</v>
      </c>
      <c r="S89">
        <f t="shared" ca="1" si="18"/>
        <v>9536</v>
      </c>
      <c r="T89">
        <f t="shared" ca="1" si="19"/>
        <v>3671</v>
      </c>
      <c r="U89">
        <f t="shared" ca="1" si="20"/>
        <v>483</v>
      </c>
      <c r="V89">
        <v>0</v>
      </c>
      <c r="W89">
        <v>0</v>
      </c>
      <c r="X89">
        <f t="shared" ca="1" si="21"/>
        <v>-221</v>
      </c>
      <c r="Y89">
        <v>0</v>
      </c>
      <c r="Z89">
        <v>0</v>
      </c>
      <c r="AA89">
        <v>100</v>
      </c>
      <c r="AB89" t="s">
        <v>136</v>
      </c>
      <c r="AC89" t="s">
        <v>137</v>
      </c>
      <c r="AD89">
        <v>1</v>
      </c>
      <c r="AE89">
        <v>52</v>
      </c>
      <c r="AF89">
        <v>265</v>
      </c>
      <c r="AG89" t="s">
        <v>47</v>
      </c>
      <c r="AH89" t="s">
        <v>48</v>
      </c>
      <c r="AI89" t="s">
        <v>49</v>
      </c>
      <c r="AJ89" t="s">
        <v>50</v>
      </c>
      <c r="AK89" t="s">
        <v>51</v>
      </c>
      <c r="AL89">
        <v>3.6726999999999999</v>
      </c>
      <c r="AM89" t="s">
        <v>52</v>
      </c>
      <c r="AN89" t="s">
        <v>128</v>
      </c>
      <c r="AO89" t="s">
        <v>129</v>
      </c>
      <c r="AP89" t="s">
        <v>130</v>
      </c>
      <c r="AQ89" t="s">
        <v>55</v>
      </c>
    </row>
    <row r="90" spans="1:43" x14ac:dyDescent="0.3">
      <c r="A90" t="s">
        <v>43</v>
      </c>
      <c r="B90">
        <v>2020</v>
      </c>
      <c r="C90">
        <v>299</v>
      </c>
      <c r="D90">
        <v>5311</v>
      </c>
      <c r="E90">
        <v>20</v>
      </c>
      <c r="F90">
        <v>202305</v>
      </c>
      <c r="G90">
        <v>2800207</v>
      </c>
      <c r="H90" t="s">
        <v>125</v>
      </c>
      <c r="I90" t="s">
        <v>45</v>
      </c>
      <c r="J90">
        <v>7</v>
      </c>
      <c r="K90">
        <f t="shared" ca="1" si="12"/>
        <v>59</v>
      </c>
      <c r="L90">
        <f t="shared" ca="1" si="13"/>
        <v>-75</v>
      </c>
      <c r="M90">
        <f t="shared" ca="1" si="14"/>
        <v>375</v>
      </c>
      <c r="N90">
        <f t="shared" ca="1" si="14"/>
        <v>209</v>
      </c>
      <c r="O90">
        <f t="shared" ca="1" si="11"/>
        <v>576</v>
      </c>
      <c r="P90">
        <f t="shared" ca="1" si="15"/>
        <v>1234</v>
      </c>
      <c r="Q90">
        <f t="shared" ca="1" si="16"/>
        <v>721</v>
      </c>
      <c r="R90">
        <f t="shared" ca="1" si="17"/>
        <v>197</v>
      </c>
      <c r="S90">
        <f t="shared" ca="1" si="18"/>
        <v>2522</v>
      </c>
      <c r="T90">
        <f t="shared" ca="1" si="19"/>
        <v>2385</v>
      </c>
      <c r="U90">
        <f t="shared" ca="1" si="20"/>
        <v>1289</v>
      </c>
      <c r="V90">
        <v>0</v>
      </c>
      <c r="W90">
        <v>0</v>
      </c>
      <c r="X90">
        <f t="shared" ca="1" si="21"/>
        <v>-440</v>
      </c>
      <c r="Y90">
        <v>0</v>
      </c>
      <c r="Z90">
        <v>8</v>
      </c>
      <c r="AA90">
        <v>100</v>
      </c>
      <c r="AB90" t="s">
        <v>138</v>
      </c>
      <c r="AC90" t="s">
        <v>86</v>
      </c>
      <c r="AD90">
        <v>1</v>
      </c>
      <c r="AE90">
        <v>52</v>
      </c>
      <c r="AF90">
        <v>265</v>
      </c>
      <c r="AG90" t="s">
        <v>47</v>
      </c>
      <c r="AH90" t="s">
        <v>48</v>
      </c>
      <c r="AI90" t="s">
        <v>49</v>
      </c>
      <c r="AJ90" t="s">
        <v>50</v>
      </c>
      <c r="AK90" t="s">
        <v>51</v>
      </c>
      <c r="AL90">
        <v>3.6726999999999999</v>
      </c>
      <c r="AM90" t="s">
        <v>52</v>
      </c>
      <c r="AN90" t="s">
        <v>128</v>
      </c>
      <c r="AO90" t="s">
        <v>129</v>
      </c>
      <c r="AP90" t="s">
        <v>130</v>
      </c>
      <c r="AQ90" t="s">
        <v>55</v>
      </c>
    </row>
    <row r="91" spans="1:43" x14ac:dyDescent="0.3">
      <c r="A91" t="s">
        <v>43</v>
      </c>
      <c r="B91">
        <v>2020</v>
      </c>
      <c r="C91">
        <v>299</v>
      </c>
      <c r="D91">
        <v>5311</v>
      </c>
      <c r="E91">
        <v>20</v>
      </c>
      <c r="F91">
        <v>202305</v>
      </c>
      <c r="G91">
        <v>2800209</v>
      </c>
      <c r="H91" t="s">
        <v>125</v>
      </c>
      <c r="I91" t="s">
        <v>45</v>
      </c>
      <c r="J91">
        <v>7</v>
      </c>
      <c r="K91">
        <f t="shared" ca="1" si="12"/>
        <v>17</v>
      </c>
      <c r="L91">
        <f t="shared" ca="1" si="13"/>
        <v>-37</v>
      </c>
      <c r="M91">
        <f t="shared" ca="1" si="14"/>
        <v>410</v>
      </c>
      <c r="N91">
        <f t="shared" ca="1" si="14"/>
        <v>432</v>
      </c>
      <c r="O91">
        <f t="shared" ca="1" si="11"/>
        <v>182</v>
      </c>
      <c r="P91">
        <f t="shared" ca="1" si="15"/>
        <v>-481</v>
      </c>
      <c r="Q91">
        <f t="shared" ca="1" si="16"/>
        <v>822</v>
      </c>
      <c r="R91">
        <f t="shared" ca="1" si="17"/>
        <v>-68</v>
      </c>
      <c r="S91">
        <f t="shared" ca="1" si="18"/>
        <v>8397</v>
      </c>
      <c r="T91">
        <f t="shared" ca="1" si="19"/>
        <v>8179</v>
      </c>
      <c r="U91">
        <f t="shared" ca="1" si="20"/>
        <v>999</v>
      </c>
      <c r="V91">
        <v>0</v>
      </c>
      <c r="W91">
        <v>0</v>
      </c>
      <c r="X91">
        <f t="shared" ca="1" si="21"/>
        <v>-416</v>
      </c>
      <c r="Y91">
        <v>0</v>
      </c>
      <c r="Z91">
        <v>0</v>
      </c>
      <c r="AA91">
        <v>100</v>
      </c>
      <c r="AB91" t="s">
        <v>138</v>
      </c>
      <c r="AC91" t="s">
        <v>139</v>
      </c>
      <c r="AD91">
        <v>1</v>
      </c>
      <c r="AE91">
        <v>52</v>
      </c>
      <c r="AF91">
        <v>265</v>
      </c>
      <c r="AG91" t="s">
        <v>47</v>
      </c>
      <c r="AH91" t="s">
        <v>48</v>
      </c>
      <c r="AI91" t="s">
        <v>49</v>
      </c>
      <c r="AJ91" t="s">
        <v>50</v>
      </c>
      <c r="AK91" t="s">
        <v>51</v>
      </c>
      <c r="AL91">
        <v>3.6726999999999999</v>
      </c>
      <c r="AM91" t="s">
        <v>52</v>
      </c>
      <c r="AN91" t="s">
        <v>128</v>
      </c>
      <c r="AO91" t="s">
        <v>129</v>
      </c>
      <c r="AP91" t="s">
        <v>130</v>
      </c>
      <c r="AQ91" t="s">
        <v>55</v>
      </c>
    </row>
    <row r="92" spans="1:43" x14ac:dyDescent="0.3">
      <c r="A92" t="s">
        <v>43</v>
      </c>
      <c r="B92">
        <v>2020</v>
      </c>
      <c r="C92">
        <v>299</v>
      </c>
      <c r="D92">
        <v>5311</v>
      </c>
      <c r="E92">
        <v>20</v>
      </c>
      <c r="F92">
        <v>202305</v>
      </c>
      <c r="G92">
        <v>2800211</v>
      </c>
      <c r="H92" t="s">
        <v>125</v>
      </c>
      <c r="I92" t="s">
        <v>45</v>
      </c>
      <c r="J92">
        <v>7</v>
      </c>
      <c r="K92">
        <f t="shared" ca="1" si="12"/>
        <v>85</v>
      </c>
      <c r="L92">
        <f t="shared" ca="1" si="13"/>
        <v>-94</v>
      </c>
      <c r="M92">
        <f t="shared" ca="1" si="14"/>
        <v>325</v>
      </c>
      <c r="N92">
        <f t="shared" ca="1" si="14"/>
        <v>-14</v>
      </c>
      <c r="O92">
        <f t="shared" ca="1" si="11"/>
        <v>-49</v>
      </c>
      <c r="P92">
        <f t="shared" ca="1" si="15"/>
        <v>-467</v>
      </c>
      <c r="Q92">
        <f t="shared" ca="1" si="16"/>
        <v>355</v>
      </c>
      <c r="R92">
        <f t="shared" ca="1" si="17"/>
        <v>67</v>
      </c>
      <c r="S92">
        <f t="shared" ca="1" si="18"/>
        <v>9772</v>
      </c>
      <c r="T92">
        <f t="shared" ca="1" si="19"/>
        <v>7909</v>
      </c>
      <c r="U92">
        <f t="shared" ca="1" si="20"/>
        <v>929</v>
      </c>
      <c r="V92">
        <v>0</v>
      </c>
      <c r="W92">
        <v>0</v>
      </c>
      <c r="X92">
        <f t="shared" ca="1" si="21"/>
        <v>-474</v>
      </c>
      <c r="Y92">
        <v>0</v>
      </c>
      <c r="Z92">
        <v>230</v>
      </c>
      <c r="AA92">
        <v>95</v>
      </c>
      <c r="AB92" t="s">
        <v>138</v>
      </c>
      <c r="AC92" t="s">
        <v>140</v>
      </c>
      <c r="AD92">
        <v>1</v>
      </c>
      <c r="AE92">
        <v>52</v>
      </c>
      <c r="AF92">
        <v>265</v>
      </c>
      <c r="AG92" t="s">
        <v>47</v>
      </c>
      <c r="AH92" t="s">
        <v>48</v>
      </c>
      <c r="AI92" t="s">
        <v>49</v>
      </c>
      <c r="AJ92" t="s">
        <v>50</v>
      </c>
      <c r="AK92" t="s">
        <v>51</v>
      </c>
      <c r="AL92">
        <v>3.6726999999999999</v>
      </c>
      <c r="AM92" t="s">
        <v>52</v>
      </c>
      <c r="AN92" t="s">
        <v>128</v>
      </c>
      <c r="AO92" t="s">
        <v>129</v>
      </c>
      <c r="AP92" t="s">
        <v>130</v>
      </c>
      <c r="AQ92" t="s">
        <v>55</v>
      </c>
    </row>
    <row r="93" spans="1:43" x14ac:dyDescent="0.3">
      <c r="A93" t="s">
        <v>43</v>
      </c>
      <c r="B93">
        <v>2020</v>
      </c>
      <c r="C93">
        <v>299</v>
      </c>
      <c r="D93">
        <v>5311</v>
      </c>
      <c r="E93">
        <v>20</v>
      </c>
      <c r="F93">
        <v>202305</v>
      </c>
      <c r="G93">
        <v>2800220</v>
      </c>
      <c r="H93" t="s">
        <v>125</v>
      </c>
      <c r="I93" t="s">
        <v>45</v>
      </c>
      <c r="J93">
        <v>7</v>
      </c>
      <c r="K93">
        <f t="shared" ca="1" si="12"/>
        <v>3</v>
      </c>
      <c r="L93">
        <f t="shared" ca="1" si="13"/>
        <v>-9</v>
      </c>
      <c r="M93">
        <f t="shared" ca="1" si="14"/>
        <v>287</v>
      </c>
      <c r="N93">
        <f t="shared" ca="1" si="14"/>
        <v>-100</v>
      </c>
      <c r="O93">
        <f t="shared" ca="1" si="11"/>
        <v>598</v>
      </c>
      <c r="P93">
        <f t="shared" ca="1" si="15"/>
        <v>682</v>
      </c>
      <c r="Q93">
        <f t="shared" ca="1" si="16"/>
        <v>16</v>
      </c>
      <c r="R93">
        <f t="shared" ca="1" si="17"/>
        <v>22</v>
      </c>
      <c r="S93">
        <f t="shared" ca="1" si="18"/>
        <v>9276</v>
      </c>
      <c r="T93">
        <f t="shared" ca="1" si="19"/>
        <v>9027</v>
      </c>
      <c r="U93">
        <f t="shared" ca="1" si="20"/>
        <v>923</v>
      </c>
      <c r="V93">
        <v>0</v>
      </c>
      <c r="W93">
        <v>0</v>
      </c>
      <c r="X93">
        <f t="shared" ca="1" si="21"/>
        <v>-76</v>
      </c>
      <c r="Y93">
        <v>0</v>
      </c>
      <c r="Z93">
        <v>0</v>
      </c>
      <c r="AA93">
        <v>0</v>
      </c>
      <c r="AB93" t="s">
        <v>138</v>
      </c>
      <c r="AC93" t="s">
        <v>141</v>
      </c>
      <c r="AD93">
        <v>1</v>
      </c>
      <c r="AE93">
        <v>52</v>
      </c>
      <c r="AF93">
        <v>265</v>
      </c>
      <c r="AG93" t="s">
        <v>47</v>
      </c>
      <c r="AH93" t="s">
        <v>48</v>
      </c>
      <c r="AI93" t="s">
        <v>49</v>
      </c>
      <c r="AJ93" t="s">
        <v>50</v>
      </c>
      <c r="AK93" t="s">
        <v>51</v>
      </c>
      <c r="AL93">
        <v>3.6726999999999999</v>
      </c>
      <c r="AM93" t="s">
        <v>52</v>
      </c>
      <c r="AN93" t="s">
        <v>128</v>
      </c>
      <c r="AO93" t="s">
        <v>129</v>
      </c>
      <c r="AP93" t="s">
        <v>130</v>
      </c>
      <c r="AQ93" t="s">
        <v>55</v>
      </c>
    </row>
    <row r="94" spans="1:43" x14ac:dyDescent="0.3">
      <c r="A94" t="s">
        <v>43</v>
      </c>
      <c r="B94">
        <v>2020</v>
      </c>
      <c r="C94">
        <v>299</v>
      </c>
      <c r="D94">
        <v>5311</v>
      </c>
      <c r="E94">
        <v>20</v>
      </c>
      <c r="F94">
        <v>202305</v>
      </c>
      <c r="G94">
        <v>2800250</v>
      </c>
      <c r="H94" t="s">
        <v>125</v>
      </c>
      <c r="I94" t="s">
        <v>45</v>
      </c>
      <c r="J94">
        <v>7</v>
      </c>
      <c r="K94">
        <f t="shared" ca="1" si="12"/>
        <v>82</v>
      </c>
      <c r="L94">
        <f t="shared" ca="1" si="13"/>
        <v>64</v>
      </c>
      <c r="M94">
        <f t="shared" ca="1" si="14"/>
        <v>262</v>
      </c>
      <c r="N94">
        <f t="shared" ca="1" si="14"/>
        <v>76</v>
      </c>
      <c r="O94">
        <f t="shared" ca="1" si="11"/>
        <v>240</v>
      </c>
      <c r="P94">
        <f t="shared" ca="1" si="15"/>
        <v>373</v>
      </c>
      <c r="Q94">
        <f t="shared" ca="1" si="16"/>
        <v>219</v>
      </c>
      <c r="R94">
        <f t="shared" ca="1" si="17"/>
        <v>407</v>
      </c>
      <c r="S94">
        <f t="shared" ca="1" si="18"/>
        <v>3914</v>
      </c>
      <c r="T94">
        <f t="shared" ca="1" si="19"/>
        <v>6817</v>
      </c>
      <c r="U94">
        <f t="shared" ca="1" si="20"/>
        <v>518</v>
      </c>
      <c r="V94">
        <v>0</v>
      </c>
      <c r="W94">
        <v>0</v>
      </c>
      <c r="X94">
        <f t="shared" ca="1" si="21"/>
        <v>-323</v>
      </c>
      <c r="Y94">
        <v>0</v>
      </c>
      <c r="Z94">
        <v>0</v>
      </c>
      <c r="AA94">
        <v>44</v>
      </c>
      <c r="AB94" t="s">
        <v>138</v>
      </c>
      <c r="AC94" t="s">
        <v>142</v>
      </c>
      <c r="AD94">
        <v>1</v>
      </c>
      <c r="AE94">
        <v>52</v>
      </c>
      <c r="AF94">
        <v>265</v>
      </c>
      <c r="AG94" t="s">
        <v>47</v>
      </c>
      <c r="AH94" t="s">
        <v>48</v>
      </c>
      <c r="AI94" t="s">
        <v>49</v>
      </c>
      <c r="AJ94" t="s">
        <v>50</v>
      </c>
      <c r="AK94" t="s">
        <v>51</v>
      </c>
      <c r="AL94">
        <v>3.6726999999999999</v>
      </c>
      <c r="AM94" t="s">
        <v>52</v>
      </c>
      <c r="AN94" t="s">
        <v>128</v>
      </c>
      <c r="AO94" t="s">
        <v>129</v>
      </c>
      <c r="AP94" t="s">
        <v>130</v>
      </c>
      <c r="AQ94" t="s">
        <v>55</v>
      </c>
    </row>
    <row r="95" spans="1:43" x14ac:dyDescent="0.3">
      <c r="A95" t="s">
        <v>43</v>
      </c>
      <c r="B95">
        <v>2020</v>
      </c>
      <c r="C95">
        <v>299</v>
      </c>
      <c r="D95">
        <v>5311</v>
      </c>
      <c r="E95">
        <v>20</v>
      </c>
      <c r="F95">
        <v>202305</v>
      </c>
      <c r="G95">
        <v>2800254</v>
      </c>
      <c r="H95" t="s">
        <v>125</v>
      </c>
      <c r="I95" t="s">
        <v>45</v>
      </c>
      <c r="J95">
        <v>7</v>
      </c>
      <c r="K95">
        <f t="shared" ca="1" si="12"/>
        <v>34</v>
      </c>
      <c r="L95">
        <f t="shared" ca="1" si="13"/>
        <v>-23</v>
      </c>
      <c r="M95">
        <f t="shared" ca="1" si="14"/>
        <v>342</v>
      </c>
      <c r="N95">
        <f t="shared" ca="1" si="14"/>
        <v>440</v>
      </c>
      <c r="O95">
        <f t="shared" ca="1" si="11"/>
        <v>256</v>
      </c>
      <c r="P95">
        <f t="shared" ca="1" si="15"/>
        <v>1028</v>
      </c>
      <c r="Q95">
        <f t="shared" ca="1" si="16"/>
        <v>619</v>
      </c>
      <c r="R95">
        <f t="shared" ca="1" si="17"/>
        <v>86</v>
      </c>
      <c r="S95">
        <f t="shared" ca="1" si="18"/>
        <v>4117</v>
      </c>
      <c r="T95">
        <f t="shared" ca="1" si="19"/>
        <v>6612</v>
      </c>
      <c r="U95">
        <f t="shared" ca="1" si="20"/>
        <v>809</v>
      </c>
      <c r="V95">
        <v>0</v>
      </c>
      <c r="W95">
        <v>0</v>
      </c>
      <c r="X95">
        <f t="shared" ca="1" si="21"/>
        <v>16</v>
      </c>
      <c r="Y95">
        <v>0</v>
      </c>
      <c r="Z95">
        <v>0</v>
      </c>
      <c r="AA95">
        <v>22</v>
      </c>
      <c r="AB95" t="s">
        <v>138</v>
      </c>
      <c r="AC95" t="s">
        <v>143</v>
      </c>
      <c r="AD95">
        <v>1</v>
      </c>
      <c r="AE95">
        <v>52</v>
      </c>
      <c r="AF95">
        <v>265</v>
      </c>
      <c r="AG95" t="s">
        <v>47</v>
      </c>
      <c r="AH95" t="s">
        <v>48</v>
      </c>
      <c r="AI95" t="s">
        <v>49</v>
      </c>
      <c r="AJ95" t="s">
        <v>50</v>
      </c>
      <c r="AK95" t="s">
        <v>51</v>
      </c>
      <c r="AL95">
        <v>3.6726999999999999</v>
      </c>
      <c r="AM95" t="s">
        <v>52</v>
      </c>
      <c r="AN95" t="s">
        <v>128</v>
      </c>
      <c r="AO95" t="s">
        <v>129</v>
      </c>
      <c r="AP95" t="s">
        <v>130</v>
      </c>
      <c r="AQ95" t="s">
        <v>55</v>
      </c>
    </row>
    <row r="96" spans="1:43" x14ac:dyDescent="0.3">
      <c r="A96" t="s">
        <v>43</v>
      </c>
      <c r="B96">
        <v>2020</v>
      </c>
      <c r="C96">
        <v>299</v>
      </c>
      <c r="D96">
        <v>5311</v>
      </c>
      <c r="E96">
        <v>20</v>
      </c>
      <c r="F96">
        <v>202305</v>
      </c>
      <c r="G96">
        <v>2800270</v>
      </c>
      <c r="H96" t="s">
        <v>125</v>
      </c>
      <c r="I96" t="s">
        <v>45</v>
      </c>
      <c r="J96">
        <v>7</v>
      </c>
      <c r="K96">
        <f t="shared" ca="1" si="12"/>
        <v>25</v>
      </c>
      <c r="L96">
        <f t="shared" ca="1" si="13"/>
        <v>88</v>
      </c>
      <c r="M96">
        <f t="shared" ca="1" si="14"/>
        <v>-68</v>
      </c>
      <c r="N96">
        <f t="shared" ca="1" si="14"/>
        <v>4</v>
      </c>
      <c r="O96">
        <f t="shared" ca="1" si="11"/>
        <v>513</v>
      </c>
      <c r="P96">
        <f t="shared" ca="1" si="15"/>
        <v>875</v>
      </c>
      <c r="Q96">
        <f t="shared" ca="1" si="16"/>
        <v>296</v>
      </c>
      <c r="R96">
        <f t="shared" ca="1" si="17"/>
        <v>223</v>
      </c>
      <c r="S96">
        <f t="shared" ca="1" si="18"/>
        <v>787</v>
      </c>
      <c r="T96">
        <f t="shared" ca="1" si="19"/>
        <v>3157</v>
      </c>
      <c r="U96">
        <f t="shared" ca="1" si="20"/>
        <v>417</v>
      </c>
      <c r="V96">
        <v>0</v>
      </c>
      <c r="W96">
        <v>0</v>
      </c>
      <c r="X96">
        <f t="shared" ca="1" si="21"/>
        <v>-451</v>
      </c>
      <c r="Y96">
        <v>0</v>
      </c>
      <c r="Z96">
        <v>-275</v>
      </c>
      <c r="AA96">
        <v>67</v>
      </c>
      <c r="AB96" t="s">
        <v>138</v>
      </c>
      <c r="AC96" t="s">
        <v>144</v>
      </c>
      <c r="AD96">
        <v>1</v>
      </c>
      <c r="AE96">
        <v>52</v>
      </c>
      <c r="AF96">
        <v>265</v>
      </c>
      <c r="AG96" t="s">
        <v>47</v>
      </c>
      <c r="AH96" t="s">
        <v>48</v>
      </c>
      <c r="AI96" t="s">
        <v>49</v>
      </c>
      <c r="AJ96" t="s">
        <v>50</v>
      </c>
      <c r="AK96" t="s">
        <v>51</v>
      </c>
      <c r="AL96">
        <v>3.6726999999999999</v>
      </c>
      <c r="AM96" t="s">
        <v>52</v>
      </c>
      <c r="AN96" t="s">
        <v>128</v>
      </c>
      <c r="AO96" t="s">
        <v>129</v>
      </c>
      <c r="AP96" t="s">
        <v>130</v>
      </c>
      <c r="AQ96" t="s">
        <v>55</v>
      </c>
    </row>
    <row r="97" spans="1:43" x14ac:dyDescent="0.3">
      <c r="A97" t="s">
        <v>43</v>
      </c>
      <c r="B97">
        <v>2020</v>
      </c>
      <c r="C97">
        <v>299</v>
      </c>
      <c r="D97">
        <v>5311</v>
      </c>
      <c r="E97">
        <v>20</v>
      </c>
      <c r="F97">
        <v>202305</v>
      </c>
      <c r="G97">
        <v>2900260</v>
      </c>
      <c r="H97" t="s">
        <v>125</v>
      </c>
      <c r="I97" t="s">
        <v>45</v>
      </c>
      <c r="J97">
        <v>7</v>
      </c>
      <c r="K97">
        <f t="shared" ca="1" si="12"/>
        <v>76</v>
      </c>
      <c r="L97">
        <f t="shared" ca="1" si="13"/>
        <v>-65</v>
      </c>
      <c r="M97">
        <f t="shared" ca="1" si="14"/>
        <v>99</v>
      </c>
      <c r="N97">
        <f t="shared" ca="1" si="14"/>
        <v>60</v>
      </c>
      <c r="O97">
        <f t="shared" ca="1" si="11"/>
        <v>615</v>
      </c>
      <c r="P97">
        <f t="shared" ca="1" si="15"/>
        <v>-60</v>
      </c>
      <c r="Q97">
        <f t="shared" ca="1" si="16"/>
        <v>14</v>
      </c>
      <c r="R97">
        <f t="shared" ca="1" si="17"/>
        <v>472</v>
      </c>
      <c r="S97">
        <f t="shared" ca="1" si="18"/>
        <v>3446</v>
      </c>
      <c r="T97">
        <f t="shared" ca="1" si="19"/>
        <v>2123</v>
      </c>
      <c r="U97">
        <f t="shared" ca="1" si="20"/>
        <v>101</v>
      </c>
      <c r="V97">
        <v>0</v>
      </c>
      <c r="W97">
        <v>0</v>
      </c>
      <c r="X97">
        <f t="shared" ca="1" si="21"/>
        <v>-107</v>
      </c>
      <c r="Y97">
        <v>0</v>
      </c>
      <c r="Z97">
        <v>0</v>
      </c>
      <c r="AA97">
        <v>100</v>
      </c>
      <c r="AB97" t="s">
        <v>145</v>
      </c>
      <c r="AC97" t="s">
        <v>146</v>
      </c>
      <c r="AD97">
        <v>1</v>
      </c>
      <c r="AE97">
        <v>52</v>
      </c>
      <c r="AF97">
        <v>265</v>
      </c>
      <c r="AG97" t="s">
        <v>47</v>
      </c>
      <c r="AH97" t="s">
        <v>48</v>
      </c>
      <c r="AI97" t="s">
        <v>49</v>
      </c>
      <c r="AJ97" t="s">
        <v>50</v>
      </c>
      <c r="AK97" t="s">
        <v>51</v>
      </c>
      <c r="AL97">
        <v>3.6726999999999999</v>
      </c>
      <c r="AM97" t="s">
        <v>52</v>
      </c>
      <c r="AN97" t="s">
        <v>128</v>
      </c>
      <c r="AO97" t="s">
        <v>129</v>
      </c>
      <c r="AP97" t="s">
        <v>130</v>
      </c>
      <c r="AQ97" t="s">
        <v>55</v>
      </c>
    </row>
    <row r="98" spans="1:43" x14ac:dyDescent="0.3">
      <c r="A98" t="s">
        <v>43</v>
      </c>
      <c r="B98">
        <v>2020</v>
      </c>
      <c r="C98">
        <v>299</v>
      </c>
      <c r="D98">
        <v>5311</v>
      </c>
      <c r="E98">
        <v>20</v>
      </c>
      <c r="F98">
        <v>202305</v>
      </c>
      <c r="G98">
        <v>2900261</v>
      </c>
      <c r="H98" t="s">
        <v>125</v>
      </c>
      <c r="I98" t="s">
        <v>45</v>
      </c>
      <c r="J98">
        <v>7</v>
      </c>
      <c r="K98">
        <f t="shared" ca="1" si="12"/>
        <v>12</v>
      </c>
      <c r="L98">
        <f t="shared" ca="1" si="13"/>
        <v>-39</v>
      </c>
      <c r="M98">
        <f t="shared" ca="1" si="14"/>
        <v>370</v>
      </c>
      <c r="N98">
        <f t="shared" ca="1" si="14"/>
        <v>232</v>
      </c>
      <c r="O98">
        <f t="shared" ca="1" si="11"/>
        <v>25</v>
      </c>
      <c r="P98">
        <f t="shared" ca="1" si="15"/>
        <v>202</v>
      </c>
      <c r="Q98">
        <f t="shared" ca="1" si="16"/>
        <v>318</v>
      </c>
      <c r="R98">
        <f t="shared" ca="1" si="17"/>
        <v>283</v>
      </c>
      <c r="S98">
        <f t="shared" ca="1" si="18"/>
        <v>3274</v>
      </c>
      <c r="T98">
        <f t="shared" ca="1" si="19"/>
        <v>2516</v>
      </c>
      <c r="U98">
        <f t="shared" ca="1" si="20"/>
        <v>1133</v>
      </c>
      <c r="V98">
        <v>0</v>
      </c>
      <c r="W98">
        <v>0</v>
      </c>
      <c r="X98">
        <f t="shared" ca="1" si="21"/>
        <v>84</v>
      </c>
      <c r="Y98">
        <v>0</v>
      </c>
      <c r="Z98">
        <v>25</v>
      </c>
      <c r="AA98">
        <v>100</v>
      </c>
      <c r="AB98" t="s">
        <v>145</v>
      </c>
      <c r="AC98" t="s">
        <v>147</v>
      </c>
      <c r="AD98">
        <v>1</v>
      </c>
      <c r="AE98">
        <v>52</v>
      </c>
      <c r="AF98">
        <v>265</v>
      </c>
      <c r="AG98" t="s">
        <v>47</v>
      </c>
      <c r="AH98" t="s">
        <v>48</v>
      </c>
      <c r="AI98" t="s">
        <v>49</v>
      </c>
      <c r="AJ98" t="s">
        <v>50</v>
      </c>
      <c r="AK98" t="s">
        <v>51</v>
      </c>
      <c r="AL98">
        <v>3.6726999999999999</v>
      </c>
      <c r="AM98" t="s">
        <v>52</v>
      </c>
      <c r="AN98" t="s">
        <v>128</v>
      </c>
      <c r="AO98" t="s">
        <v>129</v>
      </c>
      <c r="AP98" t="s">
        <v>130</v>
      </c>
      <c r="AQ98" t="s">
        <v>55</v>
      </c>
    </row>
    <row r="99" spans="1:43" x14ac:dyDescent="0.3">
      <c r="A99" t="s">
        <v>43</v>
      </c>
      <c r="B99">
        <v>2020</v>
      </c>
      <c r="C99">
        <v>299</v>
      </c>
      <c r="D99">
        <v>5311</v>
      </c>
      <c r="E99">
        <v>20</v>
      </c>
      <c r="F99">
        <v>202305</v>
      </c>
      <c r="G99">
        <v>2900265</v>
      </c>
      <c r="H99" t="s">
        <v>125</v>
      </c>
      <c r="I99" t="s">
        <v>45</v>
      </c>
      <c r="J99">
        <v>7</v>
      </c>
      <c r="K99">
        <f t="shared" ca="1" si="12"/>
        <v>54</v>
      </c>
      <c r="L99">
        <f t="shared" ca="1" si="13"/>
        <v>16</v>
      </c>
      <c r="M99">
        <f t="shared" ca="1" si="14"/>
        <v>354</v>
      </c>
      <c r="N99">
        <f t="shared" ca="1" si="14"/>
        <v>103</v>
      </c>
      <c r="O99">
        <f t="shared" ca="1" si="11"/>
        <v>499</v>
      </c>
      <c r="P99">
        <f t="shared" ca="1" si="15"/>
        <v>1065</v>
      </c>
      <c r="Q99">
        <f t="shared" ca="1" si="16"/>
        <v>52</v>
      </c>
      <c r="R99">
        <f t="shared" ca="1" si="17"/>
        <v>-4</v>
      </c>
      <c r="S99">
        <f t="shared" ca="1" si="18"/>
        <v>14032</v>
      </c>
      <c r="T99">
        <f t="shared" ca="1" si="19"/>
        <v>3501</v>
      </c>
      <c r="U99">
        <f t="shared" ca="1" si="20"/>
        <v>148</v>
      </c>
      <c r="V99">
        <v>0</v>
      </c>
      <c r="W99">
        <v>0</v>
      </c>
      <c r="X99">
        <f t="shared" ca="1" si="21"/>
        <v>75</v>
      </c>
      <c r="Y99">
        <v>0</v>
      </c>
      <c r="Z99">
        <v>0</v>
      </c>
      <c r="AA99">
        <v>0</v>
      </c>
      <c r="AB99" t="s">
        <v>145</v>
      </c>
      <c r="AC99" t="s">
        <v>148</v>
      </c>
      <c r="AD99">
        <v>1</v>
      </c>
      <c r="AE99">
        <v>52</v>
      </c>
      <c r="AF99">
        <v>265</v>
      </c>
      <c r="AG99" t="s">
        <v>47</v>
      </c>
      <c r="AH99" t="s">
        <v>48</v>
      </c>
      <c r="AI99" t="s">
        <v>49</v>
      </c>
      <c r="AJ99" t="s">
        <v>50</v>
      </c>
      <c r="AK99" t="s">
        <v>51</v>
      </c>
      <c r="AL99">
        <v>3.6726999999999999</v>
      </c>
      <c r="AM99" t="s">
        <v>52</v>
      </c>
      <c r="AN99" t="s">
        <v>128</v>
      </c>
      <c r="AO99" t="s">
        <v>129</v>
      </c>
      <c r="AP99" t="s">
        <v>130</v>
      </c>
      <c r="AQ99" t="s">
        <v>55</v>
      </c>
    </row>
    <row r="100" spans="1:43" x14ac:dyDescent="0.3">
      <c r="A100" t="s">
        <v>43</v>
      </c>
      <c r="B100">
        <v>2020</v>
      </c>
      <c r="C100">
        <v>299</v>
      </c>
      <c r="D100">
        <v>5311</v>
      </c>
      <c r="E100">
        <v>20</v>
      </c>
      <c r="F100">
        <v>202305</v>
      </c>
      <c r="G100">
        <v>2900276</v>
      </c>
      <c r="H100" t="s">
        <v>125</v>
      </c>
      <c r="I100" t="s">
        <v>45</v>
      </c>
      <c r="J100">
        <v>7</v>
      </c>
      <c r="K100">
        <f t="shared" ca="1" si="12"/>
        <v>70</v>
      </c>
      <c r="L100">
        <f t="shared" ca="1" si="13"/>
        <v>-48</v>
      </c>
      <c r="M100">
        <f t="shared" ca="1" si="14"/>
        <v>221</v>
      </c>
      <c r="N100">
        <f t="shared" ca="1" si="14"/>
        <v>184</v>
      </c>
      <c r="O100">
        <f t="shared" ca="1" si="11"/>
        <v>966</v>
      </c>
      <c r="P100">
        <f t="shared" ca="1" si="15"/>
        <v>706</v>
      </c>
      <c r="Q100">
        <f t="shared" ca="1" si="16"/>
        <v>825</v>
      </c>
      <c r="R100">
        <f t="shared" ca="1" si="17"/>
        <v>-19</v>
      </c>
      <c r="S100">
        <f t="shared" ca="1" si="18"/>
        <v>-40</v>
      </c>
      <c r="T100">
        <f t="shared" ca="1" si="19"/>
        <v>1574</v>
      </c>
      <c r="U100">
        <f t="shared" ca="1" si="20"/>
        <v>1225</v>
      </c>
      <c r="V100">
        <v>0</v>
      </c>
      <c r="W100">
        <v>0</v>
      </c>
      <c r="X100">
        <f t="shared" ca="1" si="21"/>
        <v>-364</v>
      </c>
      <c r="Y100">
        <v>0</v>
      </c>
      <c r="Z100">
        <v>0</v>
      </c>
      <c r="AA100">
        <v>30</v>
      </c>
      <c r="AB100" t="s">
        <v>145</v>
      </c>
      <c r="AC100" t="s">
        <v>149</v>
      </c>
      <c r="AD100">
        <v>1</v>
      </c>
      <c r="AE100">
        <v>52</v>
      </c>
      <c r="AF100">
        <v>265</v>
      </c>
      <c r="AG100" t="s">
        <v>47</v>
      </c>
      <c r="AH100" t="s">
        <v>48</v>
      </c>
      <c r="AI100" t="s">
        <v>49</v>
      </c>
      <c r="AJ100" t="s">
        <v>50</v>
      </c>
      <c r="AK100" t="s">
        <v>51</v>
      </c>
      <c r="AL100">
        <v>3.6726999999999999</v>
      </c>
      <c r="AM100" t="s">
        <v>52</v>
      </c>
      <c r="AN100" t="s">
        <v>128</v>
      </c>
      <c r="AO100" t="s">
        <v>129</v>
      </c>
      <c r="AP100" t="s">
        <v>130</v>
      </c>
      <c r="AQ100" t="s">
        <v>55</v>
      </c>
    </row>
    <row r="101" spans="1:43" x14ac:dyDescent="0.3">
      <c r="A101" t="s">
        <v>43</v>
      </c>
      <c r="B101">
        <v>2020</v>
      </c>
      <c r="C101">
        <v>299</v>
      </c>
      <c r="D101">
        <v>5411</v>
      </c>
      <c r="E101">
        <v>6</v>
      </c>
      <c r="F101">
        <v>202305</v>
      </c>
      <c r="G101">
        <v>300025</v>
      </c>
      <c r="H101" t="s">
        <v>150</v>
      </c>
      <c r="I101" t="s">
        <v>45</v>
      </c>
      <c r="J101">
        <v>7</v>
      </c>
      <c r="K101">
        <f t="shared" ca="1" si="12"/>
        <v>88</v>
      </c>
      <c r="L101">
        <f t="shared" ca="1" si="13"/>
        <v>-12</v>
      </c>
      <c r="M101">
        <f t="shared" ca="1" si="14"/>
        <v>261</v>
      </c>
      <c r="N101">
        <f t="shared" ca="1" si="14"/>
        <v>-9</v>
      </c>
      <c r="O101">
        <f t="shared" ca="1" si="11"/>
        <v>924</v>
      </c>
      <c r="P101">
        <f t="shared" ca="1" si="15"/>
        <v>1490</v>
      </c>
      <c r="Q101">
        <f t="shared" ca="1" si="16"/>
        <v>1188</v>
      </c>
      <c r="R101">
        <f t="shared" ca="1" si="17"/>
        <v>-43</v>
      </c>
      <c r="S101">
        <f t="shared" ca="1" si="18"/>
        <v>859</v>
      </c>
      <c r="T101">
        <f t="shared" ca="1" si="19"/>
        <v>5186</v>
      </c>
      <c r="U101">
        <f t="shared" ca="1" si="20"/>
        <v>-28</v>
      </c>
      <c r="V101">
        <v>0</v>
      </c>
      <c r="W101">
        <v>0</v>
      </c>
      <c r="X101">
        <f t="shared" ca="1" si="21"/>
        <v>-383</v>
      </c>
      <c r="Y101">
        <v>0</v>
      </c>
      <c r="Z101">
        <v>0</v>
      </c>
      <c r="AA101">
        <v>24</v>
      </c>
      <c r="AB101" t="s">
        <v>62</v>
      </c>
      <c r="AC101" t="s">
        <v>151</v>
      </c>
      <c r="AD101">
        <v>1</v>
      </c>
      <c r="AE101">
        <v>52</v>
      </c>
      <c r="AF101">
        <v>265</v>
      </c>
      <c r="AG101" t="s">
        <v>47</v>
      </c>
      <c r="AH101" t="s">
        <v>48</v>
      </c>
      <c r="AI101" t="s">
        <v>49</v>
      </c>
      <c r="AJ101" t="s">
        <v>50</v>
      </c>
      <c r="AK101" t="s">
        <v>51</v>
      </c>
      <c r="AL101">
        <v>3.6726999999999999</v>
      </c>
      <c r="AM101" t="s">
        <v>52</v>
      </c>
      <c r="AN101" t="s">
        <v>152</v>
      </c>
      <c r="AO101" t="s">
        <v>153</v>
      </c>
      <c r="AP101" t="s">
        <v>154</v>
      </c>
      <c r="AQ101" t="s">
        <v>55</v>
      </c>
    </row>
    <row r="102" spans="1:43" x14ac:dyDescent="0.3">
      <c r="A102" t="s">
        <v>43</v>
      </c>
      <c r="B102">
        <v>2020</v>
      </c>
      <c r="C102">
        <v>299</v>
      </c>
      <c r="D102">
        <v>5411</v>
      </c>
      <c r="E102">
        <v>6</v>
      </c>
      <c r="F102">
        <v>202305</v>
      </c>
      <c r="G102">
        <v>1100061</v>
      </c>
      <c r="H102" t="s">
        <v>150</v>
      </c>
      <c r="I102" t="s">
        <v>45</v>
      </c>
      <c r="J102">
        <v>7</v>
      </c>
      <c r="K102">
        <f t="shared" ca="1" si="12"/>
        <v>2</v>
      </c>
      <c r="L102">
        <f t="shared" ca="1" si="13"/>
        <v>-42</v>
      </c>
      <c r="M102">
        <f t="shared" ca="1" si="14"/>
        <v>440</v>
      </c>
      <c r="N102">
        <f t="shared" ca="1" si="14"/>
        <v>335</v>
      </c>
      <c r="O102">
        <f t="shared" ca="1" si="11"/>
        <v>36</v>
      </c>
      <c r="P102">
        <f t="shared" ca="1" si="15"/>
        <v>-290</v>
      </c>
      <c r="Q102">
        <f t="shared" ca="1" si="16"/>
        <v>758</v>
      </c>
      <c r="R102">
        <f t="shared" ca="1" si="17"/>
        <v>-45</v>
      </c>
      <c r="S102">
        <f t="shared" ca="1" si="18"/>
        <v>5697</v>
      </c>
      <c r="T102">
        <f t="shared" ca="1" si="19"/>
        <v>6289</v>
      </c>
      <c r="U102">
        <f t="shared" ca="1" si="20"/>
        <v>658</v>
      </c>
      <c r="V102">
        <v>0</v>
      </c>
      <c r="W102">
        <v>0</v>
      </c>
      <c r="X102">
        <f t="shared" ca="1" si="21"/>
        <v>-324</v>
      </c>
      <c r="Y102">
        <v>0</v>
      </c>
      <c r="Z102">
        <v>0</v>
      </c>
      <c r="AA102">
        <v>95</v>
      </c>
      <c r="AB102" t="s">
        <v>65</v>
      </c>
      <c r="AC102" t="s">
        <v>155</v>
      </c>
      <c r="AD102">
        <v>1</v>
      </c>
      <c r="AE102">
        <v>52</v>
      </c>
      <c r="AF102">
        <v>265</v>
      </c>
      <c r="AG102" t="s">
        <v>47</v>
      </c>
      <c r="AH102" t="s">
        <v>48</v>
      </c>
      <c r="AI102" t="s">
        <v>49</v>
      </c>
      <c r="AJ102" t="s">
        <v>50</v>
      </c>
      <c r="AK102" t="s">
        <v>51</v>
      </c>
      <c r="AL102">
        <v>3.6726999999999999</v>
      </c>
      <c r="AM102" t="s">
        <v>52</v>
      </c>
      <c r="AN102" t="s">
        <v>152</v>
      </c>
      <c r="AO102" t="s">
        <v>153</v>
      </c>
      <c r="AP102" t="s">
        <v>154</v>
      </c>
      <c r="AQ102" t="s">
        <v>55</v>
      </c>
    </row>
    <row r="103" spans="1:43" x14ac:dyDescent="0.3">
      <c r="A103" t="s">
        <v>43</v>
      </c>
      <c r="B103">
        <v>2020</v>
      </c>
      <c r="C103">
        <v>299</v>
      </c>
      <c r="D103">
        <v>5411</v>
      </c>
      <c r="E103">
        <v>6</v>
      </c>
      <c r="F103">
        <v>202305</v>
      </c>
      <c r="G103">
        <v>1100062</v>
      </c>
      <c r="H103" t="s">
        <v>150</v>
      </c>
      <c r="I103" t="s">
        <v>45</v>
      </c>
      <c r="J103">
        <v>7</v>
      </c>
      <c r="K103">
        <f t="shared" ca="1" si="12"/>
        <v>100</v>
      </c>
      <c r="L103">
        <f t="shared" ca="1" si="13"/>
        <v>21</v>
      </c>
      <c r="M103">
        <f t="shared" ca="1" si="14"/>
        <v>198</v>
      </c>
      <c r="N103">
        <f t="shared" ca="1" si="14"/>
        <v>445</v>
      </c>
      <c r="O103">
        <f t="shared" ca="1" si="11"/>
        <v>291</v>
      </c>
      <c r="P103">
        <f t="shared" ca="1" si="15"/>
        <v>1351</v>
      </c>
      <c r="Q103">
        <f t="shared" ca="1" si="16"/>
        <v>364</v>
      </c>
      <c r="R103">
        <f t="shared" ca="1" si="17"/>
        <v>194</v>
      </c>
      <c r="S103">
        <f t="shared" ca="1" si="18"/>
        <v>2959</v>
      </c>
      <c r="T103">
        <f t="shared" ca="1" si="19"/>
        <v>1281</v>
      </c>
      <c r="U103">
        <f t="shared" ca="1" si="20"/>
        <v>682</v>
      </c>
      <c r="V103">
        <v>0</v>
      </c>
      <c r="W103">
        <v>0</v>
      </c>
      <c r="X103">
        <f t="shared" ca="1" si="21"/>
        <v>-351</v>
      </c>
      <c r="Y103">
        <v>0</v>
      </c>
      <c r="Z103">
        <v>0</v>
      </c>
      <c r="AA103">
        <v>94</v>
      </c>
      <c r="AB103" t="s">
        <v>65</v>
      </c>
      <c r="AC103" t="s">
        <v>156</v>
      </c>
      <c r="AD103">
        <v>1</v>
      </c>
      <c r="AE103">
        <v>52</v>
      </c>
      <c r="AF103">
        <v>265</v>
      </c>
      <c r="AG103" t="s">
        <v>47</v>
      </c>
      <c r="AH103" t="s">
        <v>48</v>
      </c>
      <c r="AI103" t="s">
        <v>49</v>
      </c>
      <c r="AJ103" t="s">
        <v>50</v>
      </c>
      <c r="AK103" t="s">
        <v>51</v>
      </c>
      <c r="AL103">
        <v>3.6726999999999999</v>
      </c>
      <c r="AM103" t="s">
        <v>52</v>
      </c>
      <c r="AN103" t="s">
        <v>152</v>
      </c>
      <c r="AO103" t="s">
        <v>153</v>
      </c>
      <c r="AP103" t="s">
        <v>154</v>
      </c>
      <c r="AQ103" t="s">
        <v>55</v>
      </c>
    </row>
    <row r="104" spans="1:43" x14ac:dyDescent="0.3">
      <c r="A104" t="s">
        <v>43</v>
      </c>
      <c r="B104">
        <v>2020</v>
      </c>
      <c r="C104">
        <v>299</v>
      </c>
      <c r="D104">
        <v>5411</v>
      </c>
      <c r="E104">
        <v>6</v>
      </c>
      <c r="F104">
        <v>202305</v>
      </c>
      <c r="G104">
        <v>1100063</v>
      </c>
      <c r="H104" t="s">
        <v>150</v>
      </c>
      <c r="I104" t="s">
        <v>45</v>
      </c>
      <c r="J104">
        <v>7</v>
      </c>
      <c r="K104">
        <f t="shared" ca="1" si="12"/>
        <v>35</v>
      </c>
      <c r="L104">
        <f t="shared" ca="1" si="13"/>
        <v>87</v>
      </c>
      <c r="M104">
        <f t="shared" ca="1" si="14"/>
        <v>-86</v>
      </c>
      <c r="N104">
        <f t="shared" ca="1" si="14"/>
        <v>439</v>
      </c>
      <c r="O104">
        <f t="shared" ca="1" si="11"/>
        <v>-77</v>
      </c>
      <c r="P104">
        <f t="shared" ca="1" si="15"/>
        <v>-357</v>
      </c>
      <c r="Q104">
        <f t="shared" ca="1" si="16"/>
        <v>171</v>
      </c>
      <c r="R104">
        <f t="shared" ca="1" si="17"/>
        <v>223</v>
      </c>
      <c r="S104">
        <f t="shared" ca="1" si="18"/>
        <v>6699</v>
      </c>
      <c r="T104">
        <f t="shared" ca="1" si="19"/>
        <v>8348</v>
      </c>
      <c r="U104">
        <f t="shared" ca="1" si="20"/>
        <v>-78</v>
      </c>
      <c r="V104">
        <v>0</v>
      </c>
      <c r="W104">
        <v>0</v>
      </c>
      <c r="X104">
        <f t="shared" ca="1" si="21"/>
        <v>-336</v>
      </c>
      <c r="Y104">
        <v>0</v>
      </c>
      <c r="Z104">
        <v>0</v>
      </c>
      <c r="AA104">
        <v>54</v>
      </c>
      <c r="AB104" t="s">
        <v>65</v>
      </c>
      <c r="AC104" t="s">
        <v>157</v>
      </c>
      <c r="AD104">
        <v>1</v>
      </c>
      <c r="AE104">
        <v>52</v>
      </c>
      <c r="AF104">
        <v>265</v>
      </c>
      <c r="AG104" t="s">
        <v>47</v>
      </c>
      <c r="AH104" t="s">
        <v>48</v>
      </c>
      <c r="AI104" t="s">
        <v>49</v>
      </c>
      <c r="AJ104" t="s">
        <v>50</v>
      </c>
      <c r="AK104" t="s">
        <v>51</v>
      </c>
      <c r="AL104">
        <v>3.6726999999999999</v>
      </c>
      <c r="AM104" t="s">
        <v>52</v>
      </c>
      <c r="AN104" t="s">
        <v>152</v>
      </c>
      <c r="AO104" t="s">
        <v>153</v>
      </c>
      <c r="AP104" t="s">
        <v>154</v>
      </c>
      <c r="AQ104" t="s">
        <v>55</v>
      </c>
    </row>
    <row r="105" spans="1:43" x14ac:dyDescent="0.3">
      <c r="A105" t="s">
        <v>43</v>
      </c>
      <c r="B105">
        <v>2020</v>
      </c>
      <c r="C105">
        <v>299</v>
      </c>
      <c r="D105">
        <v>5411</v>
      </c>
      <c r="E105">
        <v>6</v>
      </c>
      <c r="F105">
        <v>202305</v>
      </c>
      <c r="G105">
        <v>1100064</v>
      </c>
      <c r="H105" t="s">
        <v>150</v>
      </c>
      <c r="I105" t="s">
        <v>45</v>
      </c>
      <c r="J105">
        <v>7</v>
      </c>
      <c r="K105">
        <f t="shared" ca="1" si="12"/>
        <v>46</v>
      </c>
      <c r="L105">
        <f t="shared" ca="1" si="13"/>
        <v>96</v>
      </c>
      <c r="M105">
        <f t="shared" ca="1" si="14"/>
        <v>276</v>
      </c>
      <c r="N105">
        <f t="shared" ca="1" si="14"/>
        <v>332</v>
      </c>
      <c r="O105">
        <f t="shared" ca="1" si="11"/>
        <v>703</v>
      </c>
      <c r="P105">
        <f t="shared" ca="1" si="15"/>
        <v>-299</v>
      </c>
      <c r="Q105">
        <f t="shared" ca="1" si="16"/>
        <v>384</v>
      </c>
      <c r="R105">
        <f t="shared" ca="1" si="17"/>
        <v>394</v>
      </c>
      <c r="S105">
        <f t="shared" ca="1" si="18"/>
        <v>10272</v>
      </c>
      <c r="T105">
        <f t="shared" ca="1" si="19"/>
        <v>9617</v>
      </c>
      <c r="U105">
        <f t="shared" ca="1" si="20"/>
        <v>875</v>
      </c>
      <c r="V105">
        <v>0</v>
      </c>
      <c r="W105">
        <v>0</v>
      </c>
      <c r="X105">
        <f t="shared" ca="1" si="21"/>
        <v>-365</v>
      </c>
      <c r="Y105">
        <v>0</v>
      </c>
      <c r="Z105">
        <v>0</v>
      </c>
      <c r="AA105">
        <v>100</v>
      </c>
      <c r="AB105" t="s">
        <v>65</v>
      </c>
      <c r="AC105" t="s">
        <v>158</v>
      </c>
      <c r="AD105">
        <v>1</v>
      </c>
      <c r="AE105">
        <v>52</v>
      </c>
      <c r="AF105">
        <v>265</v>
      </c>
      <c r="AG105" t="s">
        <v>47</v>
      </c>
      <c r="AH105" t="s">
        <v>48</v>
      </c>
      <c r="AI105" t="s">
        <v>49</v>
      </c>
      <c r="AJ105" t="s">
        <v>50</v>
      </c>
      <c r="AK105" t="s">
        <v>51</v>
      </c>
      <c r="AL105">
        <v>3.6726999999999999</v>
      </c>
      <c r="AM105" t="s">
        <v>52</v>
      </c>
      <c r="AN105" t="s">
        <v>152</v>
      </c>
      <c r="AO105" t="s">
        <v>153</v>
      </c>
      <c r="AP105" t="s">
        <v>154</v>
      </c>
      <c r="AQ105" t="s">
        <v>55</v>
      </c>
    </row>
    <row r="106" spans="1:43" x14ac:dyDescent="0.3">
      <c r="A106" t="s">
        <v>43</v>
      </c>
      <c r="B106">
        <v>2020</v>
      </c>
      <c r="C106">
        <v>299</v>
      </c>
      <c r="D106">
        <v>5411</v>
      </c>
      <c r="E106">
        <v>6</v>
      </c>
      <c r="F106">
        <v>202305</v>
      </c>
      <c r="G106">
        <v>3100329</v>
      </c>
      <c r="H106" t="s">
        <v>150</v>
      </c>
      <c r="I106" t="s">
        <v>45</v>
      </c>
      <c r="J106">
        <v>7</v>
      </c>
      <c r="K106">
        <f t="shared" ca="1" si="12"/>
        <v>93</v>
      </c>
      <c r="L106">
        <f t="shared" ca="1" si="13"/>
        <v>45</v>
      </c>
      <c r="M106">
        <f t="shared" ca="1" si="14"/>
        <v>-54</v>
      </c>
      <c r="N106">
        <f t="shared" ca="1" si="14"/>
        <v>231</v>
      </c>
      <c r="O106">
        <f t="shared" ca="1" si="11"/>
        <v>-85</v>
      </c>
      <c r="P106">
        <f t="shared" ca="1" si="15"/>
        <v>552</v>
      </c>
      <c r="Q106">
        <f t="shared" ca="1" si="16"/>
        <v>795</v>
      </c>
      <c r="R106">
        <f t="shared" ca="1" si="17"/>
        <v>-2</v>
      </c>
      <c r="S106">
        <f t="shared" ca="1" si="18"/>
        <v>8438</v>
      </c>
      <c r="T106">
        <f t="shared" ca="1" si="19"/>
        <v>8108</v>
      </c>
      <c r="U106">
        <f t="shared" ca="1" si="20"/>
        <v>647</v>
      </c>
      <c r="V106">
        <v>0</v>
      </c>
      <c r="W106">
        <v>0</v>
      </c>
      <c r="X106">
        <f t="shared" ca="1" si="21"/>
        <v>-52</v>
      </c>
      <c r="Y106">
        <v>0</v>
      </c>
      <c r="Z106">
        <v>0</v>
      </c>
      <c r="AA106">
        <v>100</v>
      </c>
      <c r="AB106" t="s">
        <v>80</v>
      </c>
      <c r="AC106" t="s">
        <v>159</v>
      </c>
      <c r="AD106">
        <v>1</v>
      </c>
      <c r="AE106">
        <v>52</v>
      </c>
      <c r="AF106">
        <v>265</v>
      </c>
      <c r="AG106" t="s">
        <v>47</v>
      </c>
      <c r="AH106" t="s">
        <v>48</v>
      </c>
      <c r="AI106" t="s">
        <v>49</v>
      </c>
      <c r="AJ106" t="s">
        <v>50</v>
      </c>
      <c r="AK106" t="s">
        <v>51</v>
      </c>
      <c r="AL106">
        <v>3.6726999999999999</v>
      </c>
      <c r="AM106" t="s">
        <v>52</v>
      </c>
      <c r="AN106" t="s">
        <v>152</v>
      </c>
      <c r="AO106" t="s">
        <v>153</v>
      </c>
      <c r="AP106" t="s">
        <v>154</v>
      </c>
      <c r="AQ106" t="s">
        <v>55</v>
      </c>
    </row>
    <row r="107" spans="1:43" x14ac:dyDescent="0.3">
      <c r="A107" t="s">
        <v>43</v>
      </c>
      <c r="B107">
        <v>2020</v>
      </c>
      <c r="C107">
        <v>299</v>
      </c>
      <c r="D107">
        <v>5411</v>
      </c>
      <c r="E107">
        <v>6</v>
      </c>
      <c r="F107">
        <v>202305</v>
      </c>
      <c r="G107">
        <v>3100393</v>
      </c>
      <c r="H107" t="s">
        <v>150</v>
      </c>
      <c r="I107" t="s">
        <v>45</v>
      </c>
      <c r="J107">
        <v>7</v>
      </c>
      <c r="K107">
        <f t="shared" ca="1" si="12"/>
        <v>41</v>
      </c>
      <c r="L107">
        <f t="shared" ca="1" si="13"/>
        <v>-28</v>
      </c>
      <c r="M107">
        <f t="shared" ca="1" si="14"/>
        <v>4</v>
      </c>
      <c r="N107">
        <f t="shared" ca="1" si="14"/>
        <v>164</v>
      </c>
      <c r="O107">
        <f t="shared" ca="1" si="11"/>
        <v>562</v>
      </c>
      <c r="P107">
        <f t="shared" ca="1" si="15"/>
        <v>1310</v>
      </c>
      <c r="Q107">
        <f t="shared" ca="1" si="16"/>
        <v>563</v>
      </c>
      <c r="R107">
        <f t="shared" ca="1" si="17"/>
        <v>398</v>
      </c>
      <c r="S107">
        <f t="shared" ca="1" si="18"/>
        <v>11312</v>
      </c>
      <c r="T107">
        <f t="shared" ca="1" si="19"/>
        <v>4536</v>
      </c>
      <c r="U107">
        <f t="shared" ca="1" si="20"/>
        <v>-58</v>
      </c>
      <c r="V107">
        <v>0</v>
      </c>
      <c r="W107">
        <v>0</v>
      </c>
      <c r="X107">
        <f t="shared" ca="1" si="21"/>
        <v>-140</v>
      </c>
      <c r="Y107">
        <v>0</v>
      </c>
      <c r="Z107">
        <v>0</v>
      </c>
      <c r="AA107">
        <v>69</v>
      </c>
      <c r="AB107" t="s">
        <v>80</v>
      </c>
      <c r="AC107" t="s">
        <v>90</v>
      </c>
      <c r="AD107">
        <v>1</v>
      </c>
      <c r="AE107">
        <v>52</v>
      </c>
      <c r="AF107">
        <v>265</v>
      </c>
      <c r="AG107" t="s">
        <v>47</v>
      </c>
      <c r="AH107" t="s">
        <v>48</v>
      </c>
      <c r="AI107" t="s">
        <v>49</v>
      </c>
      <c r="AJ107" t="s">
        <v>50</v>
      </c>
      <c r="AK107" t="s">
        <v>51</v>
      </c>
      <c r="AL107">
        <v>3.6726999999999999</v>
      </c>
      <c r="AM107" t="s">
        <v>52</v>
      </c>
      <c r="AN107" t="s">
        <v>152</v>
      </c>
      <c r="AO107" t="s">
        <v>153</v>
      </c>
      <c r="AP107" t="s">
        <v>154</v>
      </c>
      <c r="AQ107" t="s">
        <v>55</v>
      </c>
    </row>
    <row r="108" spans="1:43" x14ac:dyDescent="0.3">
      <c r="A108" t="s">
        <v>43</v>
      </c>
      <c r="B108">
        <v>2020</v>
      </c>
      <c r="C108">
        <v>299</v>
      </c>
      <c r="D108">
        <v>5411</v>
      </c>
      <c r="E108">
        <v>9</v>
      </c>
      <c r="F108">
        <v>202305</v>
      </c>
      <c r="G108">
        <v>11</v>
      </c>
      <c r="H108" t="s">
        <v>77</v>
      </c>
      <c r="I108" t="s">
        <v>45</v>
      </c>
      <c r="J108">
        <v>2</v>
      </c>
      <c r="K108">
        <f t="shared" ca="1" si="12"/>
        <v>0</v>
      </c>
      <c r="L108">
        <f t="shared" ca="1" si="13"/>
        <v>48</v>
      </c>
      <c r="M108">
        <f t="shared" ca="1" si="14"/>
        <v>462</v>
      </c>
      <c r="N108">
        <f t="shared" ca="1" si="14"/>
        <v>317</v>
      </c>
      <c r="O108">
        <f t="shared" ca="1" si="11"/>
        <v>76</v>
      </c>
      <c r="P108">
        <f t="shared" ca="1" si="15"/>
        <v>555</v>
      </c>
      <c r="Q108">
        <f t="shared" ca="1" si="16"/>
        <v>652</v>
      </c>
      <c r="R108">
        <f t="shared" ca="1" si="17"/>
        <v>301</v>
      </c>
      <c r="S108">
        <f t="shared" ca="1" si="18"/>
        <v>12114</v>
      </c>
      <c r="T108">
        <f t="shared" ca="1" si="19"/>
        <v>10000</v>
      </c>
      <c r="U108">
        <f t="shared" ca="1" si="20"/>
        <v>124</v>
      </c>
      <c r="V108">
        <v>0</v>
      </c>
      <c r="W108">
        <v>0</v>
      </c>
      <c r="X108">
        <f t="shared" ca="1" si="21"/>
        <v>-197</v>
      </c>
      <c r="Y108">
        <v>0</v>
      </c>
      <c r="Z108">
        <v>0</v>
      </c>
      <c r="AA108">
        <v>86</v>
      </c>
      <c r="AB108" t="s">
        <v>65</v>
      </c>
      <c r="AD108">
        <v>1</v>
      </c>
      <c r="AE108">
        <v>52</v>
      </c>
      <c r="AF108">
        <v>265</v>
      </c>
      <c r="AG108" t="s">
        <v>47</v>
      </c>
      <c r="AH108" t="s">
        <v>48</v>
      </c>
      <c r="AI108" t="s">
        <v>49</v>
      </c>
      <c r="AJ108" t="s">
        <v>50</v>
      </c>
      <c r="AK108" t="s">
        <v>51</v>
      </c>
      <c r="AL108">
        <v>3.6726999999999999</v>
      </c>
      <c r="AM108" t="s">
        <v>52</v>
      </c>
      <c r="AN108" t="s">
        <v>152</v>
      </c>
      <c r="AO108" t="s">
        <v>78</v>
      </c>
      <c r="AP108" t="s">
        <v>154</v>
      </c>
      <c r="AQ108" t="s">
        <v>55</v>
      </c>
    </row>
    <row r="109" spans="1:43" x14ac:dyDescent="0.3">
      <c r="A109" t="s">
        <v>43</v>
      </c>
      <c r="B109">
        <v>2020</v>
      </c>
      <c r="C109">
        <v>299</v>
      </c>
      <c r="D109">
        <v>5511</v>
      </c>
      <c r="E109">
        <v>10</v>
      </c>
      <c r="F109">
        <v>202305</v>
      </c>
      <c r="G109">
        <v>1100101</v>
      </c>
      <c r="H109" t="s">
        <v>160</v>
      </c>
      <c r="I109" t="s">
        <v>45</v>
      </c>
      <c r="J109">
        <v>7</v>
      </c>
      <c r="K109">
        <f t="shared" ca="1" si="12"/>
        <v>77</v>
      </c>
      <c r="L109">
        <f t="shared" ca="1" si="13"/>
        <v>-50</v>
      </c>
      <c r="M109">
        <f t="shared" ca="1" si="14"/>
        <v>195</v>
      </c>
      <c r="N109">
        <f t="shared" ca="1" si="14"/>
        <v>392</v>
      </c>
      <c r="O109">
        <f t="shared" ca="1" si="11"/>
        <v>403</v>
      </c>
      <c r="P109">
        <f t="shared" ca="1" si="15"/>
        <v>-215</v>
      </c>
      <c r="Q109">
        <f t="shared" ca="1" si="16"/>
        <v>5</v>
      </c>
      <c r="R109">
        <f t="shared" ca="1" si="17"/>
        <v>227</v>
      </c>
      <c r="S109">
        <f t="shared" ca="1" si="18"/>
        <v>3161</v>
      </c>
      <c r="T109">
        <f t="shared" ca="1" si="19"/>
        <v>1300</v>
      </c>
      <c r="U109">
        <f t="shared" ca="1" si="20"/>
        <v>68</v>
      </c>
      <c r="V109">
        <v>0</v>
      </c>
      <c r="W109">
        <v>0</v>
      </c>
      <c r="X109">
        <f t="shared" ca="1" si="21"/>
        <v>-295</v>
      </c>
      <c r="Y109">
        <v>0</v>
      </c>
      <c r="Z109">
        <v>200</v>
      </c>
      <c r="AA109">
        <v>82</v>
      </c>
      <c r="AB109" t="s">
        <v>65</v>
      </c>
      <c r="AC109" t="s">
        <v>161</v>
      </c>
      <c r="AD109">
        <v>1</v>
      </c>
      <c r="AE109">
        <v>52</v>
      </c>
      <c r="AF109">
        <v>265</v>
      </c>
      <c r="AG109" t="s">
        <v>47</v>
      </c>
      <c r="AH109" t="s">
        <v>48</v>
      </c>
      <c r="AI109" t="s">
        <v>49</v>
      </c>
      <c r="AJ109" t="s">
        <v>50</v>
      </c>
      <c r="AK109" t="s">
        <v>51</v>
      </c>
      <c r="AL109">
        <v>3.6726999999999999</v>
      </c>
      <c r="AM109" t="s">
        <v>52</v>
      </c>
      <c r="AN109" t="s">
        <v>162</v>
      </c>
      <c r="AO109" t="s">
        <v>163</v>
      </c>
      <c r="AP109" t="s">
        <v>164</v>
      </c>
      <c r="AQ109" t="s">
        <v>55</v>
      </c>
    </row>
    <row r="110" spans="1:43" x14ac:dyDescent="0.3">
      <c r="A110" t="s">
        <v>43</v>
      </c>
      <c r="B110">
        <v>2020</v>
      </c>
      <c r="C110">
        <v>299</v>
      </c>
      <c r="D110">
        <v>5511</v>
      </c>
      <c r="E110">
        <v>10</v>
      </c>
      <c r="F110">
        <v>202305</v>
      </c>
      <c r="G110">
        <v>1100102</v>
      </c>
      <c r="H110" t="s">
        <v>160</v>
      </c>
      <c r="I110" t="s">
        <v>45</v>
      </c>
      <c r="J110">
        <v>7</v>
      </c>
      <c r="K110">
        <f t="shared" ca="1" si="12"/>
        <v>60</v>
      </c>
      <c r="L110">
        <f t="shared" ca="1" si="13"/>
        <v>-8</v>
      </c>
      <c r="M110">
        <f t="shared" ca="1" si="14"/>
        <v>228</v>
      </c>
      <c r="N110">
        <f t="shared" ca="1" si="14"/>
        <v>-28</v>
      </c>
      <c r="O110">
        <f t="shared" ca="1" si="11"/>
        <v>444</v>
      </c>
      <c r="P110">
        <f t="shared" ca="1" si="15"/>
        <v>979</v>
      </c>
      <c r="Q110">
        <f t="shared" ca="1" si="16"/>
        <v>736</v>
      </c>
      <c r="R110">
        <f t="shared" ca="1" si="17"/>
        <v>239</v>
      </c>
      <c r="S110">
        <f t="shared" ca="1" si="18"/>
        <v>11596</v>
      </c>
      <c r="T110">
        <f t="shared" ca="1" si="19"/>
        <v>382</v>
      </c>
      <c r="U110">
        <f t="shared" ca="1" si="20"/>
        <v>454</v>
      </c>
      <c r="V110">
        <v>0</v>
      </c>
      <c r="W110">
        <v>0</v>
      </c>
      <c r="X110">
        <f t="shared" ca="1" si="21"/>
        <v>-15</v>
      </c>
      <c r="Y110">
        <v>0</v>
      </c>
      <c r="Z110">
        <v>0</v>
      </c>
      <c r="AA110">
        <v>90</v>
      </c>
      <c r="AB110" t="s">
        <v>65</v>
      </c>
      <c r="AC110" t="s">
        <v>165</v>
      </c>
      <c r="AD110">
        <v>1</v>
      </c>
      <c r="AE110">
        <v>52</v>
      </c>
      <c r="AF110">
        <v>265</v>
      </c>
      <c r="AG110" t="s">
        <v>47</v>
      </c>
      <c r="AH110" t="s">
        <v>48</v>
      </c>
      <c r="AI110" t="s">
        <v>49</v>
      </c>
      <c r="AJ110" t="s">
        <v>50</v>
      </c>
      <c r="AK110" t="s">
        <v>51</v>
      </c>
      <c r="AL110">
        <v>3.6726999999999999</v>
      </c>
      <c r="AM110" t="s">
        <v>52</v>
      </c>
      <c r="AN110" t="s">
        <v>162</v>
      </c>
      <c r="AO110" t="s">
        <v>163</v>
      </c>
      <c r="AP110" t="s">
        <v>164</v>
      </c>
      <c r="AQ110" t="s">
        <v>55</v>
      </c>
    </row>
    <row r="111" spans="1:43" x14ac:dyDescent="0.3">
      <c r="A111" t="s">
        <v>43</v>
      </c>
      <c r="B111">
        <v>2020</v>
      </c>
      <c r="C111">
        <v>299</v>
      </c>
      <c r="D111">
        <v>5511</v>
      </c>
      <c r="E111">
        <v>10</v>
      </c>
      <c r="F111">
        <v>202305</v>
      </c>
      <c r="G111">
        <v>1100103</v>
      </c>
      <c r="H111" t="s">
        <v>160</v>
      </c>
      <c r="I111" t="s">
        <v>45</v>
      </c>
      <c r="J111">
        <v>7</v>
      </c>
      <c r="K111">
        <f t="shared" ca="1" si="12"/>
        <v>94</v>
      </c>
      <c r="L111">
        <f t="shared" ca="1" si="13"/>
        <v>-77</v>
      </c>
      <c r="M111">
        <f t="shared" ca="1" si="14"/>
        <v>298</v>
      </c>
      <c r="N111">
        <f t="shared" ca="1" si="14"/>
        <v>121</v>
      </c>
      <c r="O111">
        <f t="shared" ca="1" si="11"/>
        <v>700</v>
      </c>
      <c r="P111">
        <f t="shared" ca="1" si="15"/>
        <v>1292</v>
      </c>
      <c r="Q111">
        <f t="shared" ca="1" si="16"/>
        <v>31</v>
      </c>
      <c r="R111">
        <f t="shared" ca="1" si="17"/>
        <v>220</v>
      </c>
      <c r="S111">
        <f t="shared" ca="1" si="18"/>
        <v>-2</v>
      </c>
      <c r="T111">
        <f t="shared" ca="1" si="19"/>
        <v>2966</v>
      </c>
      <c r="U111">
        <f t="shared" ca="1" si="20"/>
        <v>383</v>
      </c>
      <c r="V111">
        <v>0</v>
      </c>
      <c r="W111">
        <v>0</v>
      </c>
      <c r="X111">
        <f t="shared" ca="1" si="21"/>
        <v>-107</v>
      </c>
      <c r="Y111">
        <v>0</v>
      </c>
      <c r="Z111">
        <v>0</v>
      </c>
      <c r="AA111">
        <v>100</v>
      </c>
      <c r="AB111" t="s">
        <v>65</v>
      </c>
      <c r="AC111" t="s">
        <v>166</v>
      </c>
      <c r="AD111">
        <v>1</v>
      </c>
      <c r="AE111">
        <v>52</v>
      </c>
      <c r="AF111">
        <v>265</v>
      </c>
      <c r="AG111" t="s">
        <v>47</v>
      </c>
      <c r="AH111" t="s">
        <v>48</v>
      </c>
      <c r="AI111" t="s">
        <v>49</v>
      </c>
      <c r="AJ111" t="s">
        <v>50</v>
      </c>
      <c r="AK111" t="s">
        <v>51</v>
      </c>
      <c r="AL111">
        <v>3.6726999999999999</v>
      </c>
      <c r="AM111" t="s">
        <v>52</v>
      </c>
      <c r="AN111" t="s">
        <v>162</v>
      </c>
      <c r="AO111" t="s">
        <v>163</v>
      </c>
      <c r="AP111" t="s">
        <v>164</v>
      </c>
      <c r="AQ111" t="s">
        <v>55</v>
      </c>
    </row>
    <row r="112" spans="1:43" x14ac:dyDescent="0.3">
      <c r="A112" t="s">
        <v>43</v>
      </c>
      <c r="B112">
        <v>2020</v>
      </c>
      <c r="C112">
        <v>299</v>
      </c>
      <c r="D112">
        <v>5511</v>
      </c>
      <c r="E112">
        <v>10</v>
      </c>
      <c r="F112">
        <v>202305</v>
      </c>
      <c r="G112">
        <v>1100105</v>
      </c>
      <c r="H112" t="s">
        <v>160</v>
      </c>
      <c r="I112" t="s">
        <v>45</v>
      </c>
      <c r="J112">
        <v>7</v>
      </c>
      <c r="K112">
        <f t="shared" ca="1" si="12"/>
        <v>23</v>
      </c>
      <c r="L112">
        <f t="shared" ca="1" si="13"/>
        <v>-91</v>
      </c>
      <c r="M112">
        <f t="shared" ca="1" si="14"/>
        <v>420</v>
      </c>
      <c r="N112">
        <f t="shared" ca="1" si="14"/>
        <v>291</v>
      </c>
      <c r="O112">
        <f t="shared" ca="1" si="11"/>
        <v>1</v>
      </c>
      <c r="P112">
        <f t="shared" ca="1" si="15"/>
        <v>84</v>
      </c>
      <c r="Q112">
        <f t="shared" ca="1" si="16"/>
        <v>83</v>
      </c>
      <c r="R112">
        <f t="shared" ca="1" si="17"/>
        <v>102</v>
      </c>
      <c r="S112">
        <f t="shared" ca="1" si="18"/>
        <v>8433</v>
      </c>
      <c r="T112">
        <f t="shared" ca="1" si="19"/>
        <v>8855</v>
      </c>
      <c r="U112">
        <f t="shared" ca="1" si="20"/>
        <v>296</v>
      </c>
      <c r="V112">
        <v>0</v>
      </c>
      <c r="W112">
        <v>0</v>
      </c>
      <c r="X112">
        <f t="shared" ca="1" si="21"/>
        <v>-239</v>
      </c>
      <c r="Y112">
        <v>0</v>
      </c>
      <c r="Z112">
        <v>0</v>
      </c>
      <c r="AA112">
        <v>74</v>
      </c>
      <c r="AB112" t="s">
        <v>65</v>
      </c>
      <c r="AC112" t="s">
        <v>167</v>
      </c>
      <c r="AD112">
        <v>1</v>
      </c>
      <c r="AE112">
        <v>52</v>
      </c>
      <c r="AF112">
        <v>265</v>
      </c>
      <c r="AG112" t="s">
        <v>47</v>
      </c>
      <c r="AH112" t="s">
        <v>48</v>
      </c>
      <c r="AI112" t="s">
        <v>49</v>
      </c>
      <c r="AJ112" t="s">
        <v>50</v>
      </c>
      <c r="AK112" t="s">
        <v>51</v>
      </c>
      <c r="AL112">
        <v>3.6726999999999999</v>
      </c>
      <c r="AM112" t="s">
        <v>52</v>
      </c>
      <c r="AN112" t="s">
        <v>162</v>
      </c>
      <c r="AO112" t="s">
        <v>163</v>
      </c>
      <c r="AP112" t="s">
        <v>164</v>
      </c>
      <c r="AQ112" t="s">
        <v>55</v>
      </c>
    </row>
    <row r="113" spans="1:43" x14ac:dyDescent="0.3">
      <c r="A113" t="s">
        <v>43</v>
      </c>
      <c r="B113">
        <v>2020</v>
      </c>
      <c r="C113">
        <v>299</v>
      </c>
      <c r="D113">
        <v>5511</v>
      </c>
      <c r="E113">
        <v>10</v>
      </c>
      <c r="F113">
        <v>202305</v>
      </c>
      <c r="G113">
        <v>1100106</v>
      </c>
      <c r="H113" t="s">
        <v>160</v>
      </c>
      <c r="I113" t="s">
        <v>45</v>
      </c>
      <c r="J113">
        <v>7</v>
      </c>
      <c r="K113">
        <f t="shared" ca="1" si="12"/>
        <v>83</v>
      </c>
      <c r="L113">
        <f t="shared" ca="1" si="13"/>
        <v>49</v>
      </c>
      <c r="M113">
        <f t="shared" ca="1" si="14"/>
        <v>3</v>
      </c>
      <c r="N113">
        <f t="shared" ca="1" si="14"/>
        <v>373</v>
      </c>
      <c r="O113">
        <f t="shared" ca="1" si="11"/>
        <v>763</v>
      </c>
      <c r="P113">
        <f t="shared" ca="1" si="15"/>
        <v>1117</v>
      </c>
      <c r="Q113">
        <f t="shared" ca="1" si="16"/>
        <v>222</v>
      </c>
      <c r="R113">
        <f t="shared" ca="1" si="17"/>
        <v>453</v>
      </c>
      <c r="S113">
        <f t="shared" ca="1" si="18"/>
        <v>4847</v>
      </c>
      <c r="T113">
        <f t="shared" ca="1" si="19"/>
        <v>8157</v>
      </c>
      <c r="U113">
        <f t="shared" ca="1" si="20"/>
        <v>892</v>
      </c>
      <c r="V113">
        <v>0</v>
      </c>
      <c r="W113">
        <v>0</v>
      </c>
      <c r="X113">
        <f t="shared" ca="1" si="21"/>
        <v>-247</v>
      </c>
      <c r="Y113">
        <v>0</v>
      </c>
      <c r="Z113">
        <v>0</v>
      </c>
      <c r="AA113">
        <v>100</v>
      </c>
      <c r="AB113" t="s">
        <v>65</v>
      </c>
      <c r="AC113" t="s">
        <v>168</v>
      </c>
      <c r="AD113">
        <v>1</v>
      </c>
      <c r="AE113">
        <v>52</v>
      </c>
      <c r="AF113">
        <v>265</v>
      </c>
      <c r="AG113" t="s">
        <v>47</v>
      </c>
      <c r="AH113" t="s">
        <v>48</v>
      </c>
      <c r="AI113" t="s">
        <v>49</v>
      </c>
      <c r="AJ113" t="s">
        <v>50</v>
      </c>
      <c r="AK113" t="s">
        <v>51</v>
      </c>
      <c r="AL113">
        <v>3.6726999999999999</v>
      </c>
      <c r="AM113" t="s">
        <v>52</v>
      </c>
      <c r="AN113" t="s">
        <v>162</v>
      </c>
      <c r="AO113" t="s">
        <v>163</v>
      </c>
      <c r="AP113" t="s">
        <v>164</v>
      </c>
      <c r="AQ113" t="s">
        <v>55</v>
      </c>
    </row>
    <row r="114" spans="1:43" x14ac:dyDescent="0.3">
      <c r="A114" t="s">
        <v>43</v>
      </c>
      <c r="B114">
        <v>2020</v>
      </c>
      <c r="C114">
        <v>299</v>
      </c>
      <c r="D114">
        <v>5511</v>
      </c>
      <c r="E114">
        <v>10</v>
      </c>
      <c r="F114">
        <v>202305</v>
      </c>
      <c r="G114">
        <v>1100107</v>
      </c>
      <c r="H114" t="s">
        <v>160</v>
      </c>
      <c r="I114" t="s">
        <v>45</v>
      </c>
      <c r="J114">
        <v>7</v>
      </c>
      <c r="K114">
        <f t="shared" ca="1" si="12"/>
        <v>6</v>
      </c>
      <c r="L114">
        <f t="shared" ca="1" si="13"/>
        <v>-79</v>
      </c>
      <c r="M114">
        <f t="shared" ca="1" si="14"/>
        <v>36</v>
      </c>
      <c r="N114">
        <f t="shared" ca="1" si="14"/>
        <v>265</v>
      </c>
      <c r="O114">
        <f t="shared" ca="1" si="11"/>
        <v>275</v>
      </c>
      <c r="P114">
        <f t="shared" ca="1" si="15"/>
        <v>935</v>
      </c>
      <c r="Q114">
        <f t="shared" ca="1" si="16"/>
        <v>1130</v>
      </c>
      <c r="R114">
        <f t="shared" ca="1" si="17"/>
        <v>416</v>
      </c>
      <c r="S114">
        <f t="shared" ca="1" si="18"/>
        <v>1332</v>
      </c>
      <c r="T114">
        <f t="shared" ca="1" si="19"/>
        <v>5544</v>
      </c>
      <c r="U114">
        <f t="shared" ca="1" si="20"/>
        <v>968</v>
      </c>
      <c r="V114">
        <v>0</v>
      </c>
      <c r="W114">
        <v>0</v>
      </c>
      <c r="X114">
        <f t="shared" ca="1" si="21"/>
        <v>-365</v>
      </c>
      <c r="Y114">
        <v>0</v>
      </c>
      <c r="Z114">
        <v>0</v>
      </c>
      <c r="AA114">
        <v>96</v>
      </c>
      <c r="AB114" t="s">
        <v>65</v>
      </c>
      <c r="AC114" t="s">
        <v>169</v>
      </c>
      <c r="AD114">
        <v>1</v>
      </c>
      <c r="AE114">
        <v>52</v>
      </c>
      <c r="AF114">
        <v>265</v>
      </c>
      <c r="AG114" t="s">
        <v>47</v>
      </c>
      <c r="AH114" t="s">
        <v>48</v>
      </c>
      <c r="AI114" t="s">
        <v>49</v>
      </c>
      <c r="AJ114" t="s">
        <v>50</v>
      </c>
      <c r="AK114" t="s">
        <v>51</v>
      </c>
      <c r="AL114">
        <v>3.6726999999999999</v>
      </c>
      <c r="AM114" t="s">
        <v>52</v>
      </c>
      <c r="AN114" t="s">
        <v>162</v>
      </c>
      <c r="AO114" t="s">
        <v>163</v>
      </c>
      <c r="AP114" t="s">
        <v>164</v>
      </c>
      <c r="AQ114" t="s">
        <v>55</v>
      </c>
    </row>
    <row r="115" spans="1:43" x14ac:dyDescent="0.3">
      <c r="A115" t="s">
        <v>43</v>
      </c>
      <c r="B115">
        <v>2020</v>
      </c>
      <c r="C115">
        <v>299</v>
      </c>
      <c r="D115">
        <v>5511</v>
      </c>
      <c r="E115">
        <v>10</v>
      </c>
      <c r="F115">
        <v>202305</v>
      </c>
      <c r="G115">
        <v>1100108</v>
      </c>
      <c r="H115" t="s">
        <v>160</v>
      </c>
      <c r="I115" t="s">
        <v>45</v>
      </c>
      <c r="J115">
        <v>7</v>
      </c>
      <c r="K115">
        <f t="shared" ca="1" si="12"/>
        <v>61</v>
      </c>
      <c r="L115">
        <f t="shared" ca="1" si="13"/>
        <v>77</v>
      </c>
      <c r="M115">
        <f t="shared" ca="1" si="14"/>
        <v>121</v>
      </c>
      <c r="N115">
        <f t="shared" ca="1" si="14"/>
        <v>23</v>
      </c>
      <c r="O115">
        <f t="shared" ca="1" si="11"/>
        <v>583</v>
      </c>
      <c r="P115">
        <f t="shared" ca="1" si="15"/>
        <v>11</v>
      </c>
      <c r="Q115">
        <f t="shared" ca="1" si="16"/>
        <v>386</v>
      </c>
      <c r="R115">
        <f t="shared" ca="1" si="17"/>
        <v>200</v>
      </c>
      <c r="S115">
        <f t="shared" ca="1" si="18"/>
        <v>9040</v>
      </c>
      <c r="T115">
        <f t="shared" ca="1" si="19"/>
        <v>3632</v>
      </c>
      <c r="U115">
        <f t="shared" ca="1" si="20"/>
        <v>1129</v>
      </c>
      <c r="V115">
        <v>0</v>
      </c>
      <c r="W115">
        <v>0</v>
      </c>
      <c r="X115">
        <f t="shared" ca="1" si="21"/>
        <v>66</v>
      </c>
      <c r="Y115">
        <v>0</v>
      </c>
      <c r="Z115">
        <v>0</v>
      </c>
      <c r="AA115">
        <v>92</v>
      </c>
      <c r="AB115" t="s">
        <v>65</v>
      </c>
      <c r="AC115" t="s">
        <v>170</v>
      </c>
      <c r="AD115">
        <v>1</v>
      </c>
      <c r="AE115">
        <v>52</v>
      </c>
      <c r="AF115">
        <v>265</v>
      </c>
      <c r="AG115" t="s">
        <v>47</v>
      </c>
      <c r="AH115" t="s">
        <v>48</v>
      </c>
      <c r="AI115" t="s">
        <v>49</v>
      </c>
      <c r="AJ115" t="s">
        <v>50</v>
      </c>
      <c r="AK115" t="s">
        <v>51</v>
      </c>
      <c r="AL115">
        <v>3.6726999999999999</v>
      </c>
      <c r="AM115" t="s">
        <v>52</v>
      </c>
      <c r="AN115" t="s">
        <v>162</v>
      </c>
      <c r="AO115" t="s">
        <v>163</v>
      </c>
      <c r="AP115" t="s">
        <v>164</v>
      </c>
      <c r="AQ115" t="s">
        <v>55</v>
      </c>
    </row>
    <row r="116" spans="1:43" x14ac:dyDescent="0.3">
      <c r="A116" t="s">
        <v>43</v>
      </c>
      <c r="B116">
        <v>2020</v>
      </c>
      <c r="C116">
        <v>299</v>
      </c>
      <c r="D116">
        <v>5511</v>
      </c>
      <c r="E116">
        <v>10</v>
      </c>
      <c r="F116">
        <v>202305</v>
      </c>
      <c r="G116">
        <v>1100109</v>
      </c>
      <c r="H116" t="s">
        <v>160</v>
      </c>
      <c r="I116" t="s">
        <v>45</v>
      </c>
      <c r="J116">
        <v>7</v>
      </c>
      <c r="K116">
        <f t="shared" ca="1" si="12"/>
        <v>95</v>
      </c>
      <c r="L116">
        <f t="shared" ca="1" si="13"/>
        <v>64</v>
      </c>
      <c r="M116">
        <f t="shared" ca="1" si="14"/>
        <v>-16</v>
      </c>
      <c r="N116">
        <f t="shared" ca="1" si="14"/>
        <v>281</v>
      </c>
      <c r="O116">
        <f t="shared" ca="1" si="11"/>
        <v>812</v>
      </c>
      <c r="P116">
        <f t="shared" ca="1" si="15"/>
        <v>993</v>
      </c>
      <c r="Q116">
        <f t="shared" ca="1" si="16"/>
        <v>13</v>
      </c>
      <c r="R116">
        <f t="shared" ca="1" si="17"/>
        <v>-64</v>
      </c>
      <c r="S116">
        <f t="shared" ca="1" si="18"/>
        <v>14398</v>
      </c>
      <c r="T116">
        <f t="shared" ca="1" si="19"/>
        <v>4091</v>
      </c>
      <c r="U116">
        <f t="shared" ca="1" si="20"/>
        <v>1092</v>
      </c>
      <c r="V116">
        <v>0</v>
      </c>
      <c r="W116">
        <v>0</v>
      </c>
      <c r="X116">
        <f t="shared" ca="1" si="21"/>
        <v>-488</v>
      </c>
      <c r="Y116">
        <v>0</v>
      </c>
      <c r="Z116">
        <v>60</v>
      </c>
      <c r="AA116">
        <v>98</v>
      </c>
      <c r="AB116" t="s">
        <v>65</v>
      </c>
      <c r="AC116" t="s">
        <v>171</v>
      </c>
      <c r="AD116">
        <v>1</v>
      </c>
      <c r="AE116">
        <v>52</v>
      </c>
      <c r="AF116">
        <v>265</v>
      </c>
      <c r="AG116" t="s">
        <v>47</v>
      </c>
      <c r="AH116" t="s">
        <v>48</v>
      </c>
      <c r="AI116" t="s">
        <v>49</v>
      </c>
      <c r="AJ116" t="s">
        <v>50</v>
      </c>
      <c r="AK116" t="s">
        <v>51</v>
      </c>
      <c r="AL116">
        <v>3.6726999999999999</v>
      </c>
      <c r="AM116" t="s">
        <v>52</v>
      </c>
      <c r="AN116" t="s">
        <v>162</v>
      </c>
      <c r="AO116" t="s">
        <v>163</v>
      </c>
      <c r="AP116" t="s">
        <v>164</v>
      </c>
      <c r="AQ116" t="s">
        <v>55</v>
      </c>
    </row>
    <row r="117" spans="1:43" x14ac:dyDescent="0.3">
      <c r="A117" t="s">
        <v>43</v>
      </c>
      <c r="B117">
        <v>2020</v>
      </c>
      <c r="C117">
        <v>299</v>
      </c>
      <c r="D117">
        <v>5511</v>
      </c>
      <c r="E117">
        <v>10</v>
      </c>
      <c r="F117">
        <v>202305</v>
      </c>
      <c r="G117">
        <v>1100110</v>
      </c>
      <c r="H117" t="s">
        <v>160</v>
      </c>
      <c r="I117" t="s">
        <v>45</v>
      </c>
      <c r="J117">
        <v>7</v>
      </c>
      <c r="K117">
        <f t="shared" ca="1" si="12"/>
        <v>95</v>
      </c>
      <c r="L117">
        <f t="shared" ca="1" si="13"/>
        <v>15</v>
      </c>
      <c r="M117">
        <f t="shared" ca="1" si="14"/>
        <v>108</v>
      </c>
      <c r="N117">
        <f t="shared" ca="1" si="14"/>
        <v>409</v>
      </c>
      <c r="O117">
        <f t="shared" ca="1" si="11"/>
        <v>31</v>
      </c>
      <c r="P117">
        <f t="shared" ca="1" si="15"/>
        <v>1373</v>
      </c>
      <c r="Q117">
        <f t="shared" ca="1" si="16"/>
        <v>1175</v>
      </c>
      <c r="R117">
        <f t="shared" ca="1" si="17"/>
        <v>131</v>
      </c>
      <c r="S117">
        <f t="shared" ca="1" si="18"/>
        <v>11559</v>
      </c>
      <c r="T117">
        <f t="shared" ca="1" si="19"/>
        <v>3670</v>
      </c>
      <c r="U117">
        <f t="shared" ca="1" si="20"/>
        <v>339</v>
      </c>
      <c r="V117">
        <v>0</v>
      </c>
      <c r="W117">
        <v>0</v>
      </c>
      <c r="X117">
        <f t="shared" ca="1" si="21"/>
        <v>-249</v>
      </c>
      <c r="Y117">
        <v>0</v>
      </c>
      <c r="Z117">
        <v>0</v>
      </c>
      <c r="AA117">
        <v>86</v>
      </c>
      <c r="AB117" t="s">
        <v>65</v>
      </c>
      <c r="AC117" t="s">
        <v>172</v>
      </c>
      <c r="AD117">
        <v>1</v>
      </c>
      <c r="AE117">
        <v>52</v>
      </c>
      <c r="AF117">
        <v>265</v>
      </c>
      <c r="AG117" t="s">
        <v>47</v>
      </c>
      <c r="AH117" t="s">
        <v>48</v>
      </c>
      <c r="AI117" t="s">
        <v>49</v>
      </c>
      <c r="AJ117" t="s">
        <v>50</v>
      </c>
      <c r="AK117" t="s">
        <v>51</v>
      </c>
      <c r="AL117">
        <v>3.6726999999999999</v>
      </c>
      <c r="AM117" t="s">
        <v>52</v>
      </c>
      <c r="AN117" t="s">
        <v>162</v>
      </c>
      <c r="AO117" t="s">
        <v>163</v>
      </c>
      <c r="AP117" t="s">
        <v>164</v>
      </c>
      <c r="AQ117" t="s">
        <v>55</v>
      </c>
    </row>
    <row r="118" spans="1:43" x14ac:dyDescent="0.3">
      <c r="A118" t="s">
        <v>43</v>
      </c>
      <c r="B118">
        <v>2020</v>
      </c>
      <c r="C118">
        <v>299</v>
      </c>
      <c r="D118">
        <v>5511</v>
      </c>
      <c r="E118">
        <v>10</v>
      </c>
      <c r="F118">
        <v>202305</v>
      </c>
      <c r="G118">
        <v>1100127</v>
      </c>
      <c r="H118" t="s">
        <v>160</v>
      </c>
      <c r="I118" t="s">
        <v>45</v>
      </c>
      <c r="J118">
        <v>7</v>
      </c>
      <c r="K118">
        <f t="shared" ca="1" si="12"/>
        <v>73</v>
      </c>
      <c r="L118">
        <f t="shared" ca="1" si="13"/>
        <v>31</v>
      </c>
      <c r="M118">
        <f t="shared" ca="1" si="14"/>
        <v>465</v>
      </c>
      <c r="N118">
        <f t="shared" ca="1" si="14"/>
        <v>404</v>
      </c>
      <c r="O118">
        <f t="shared" ca="1" si="11"/>
        <v>983</v>
      </c>
      <c r="P118">
        <f t="shared" ca="1" si="15"/>
        <v>-397</v>
      </c>
      <c r="Q118">
        <f t="shared" ca="1" si="16"/>
        <v>490</v>
      </c>
      <c r="R118">
        <f t="shared" ca="1" si="17"/>
        <v>113</v>
      </c>
      <c r="S118">
        <f t="shared" ca="1" si="18"/>
        <v>13901</v>
      </c>
      <c r="T118">
        <f t="shared" ca="1" si="19"/>
        <v>9283</v>
      </c>
      <c r="U118">
        <f t="shared" ca="1" si="20"/>
        <v>432</v>
      </c>
      <c r="V118">
        <v>0</v>
      </c>
      <c r="W118">
        <v>0</v>
      </c>
      <c r="X118">
        <f t="shared" ca="1" si="21"/>
        <v>-301</v>
      </c>
      <c r="Y118">
        <v>0</v>
      </c>
      <c r="Z118">
        <v>0</v>
      </c>
      <c r="AA118">
        <v>29</v>
      </c>
      <c r="AB118" t="s">
        <v>65</v>
      </c>
      <c r="AC118" t="s">
        <v>173</v>
      </c>
      <c r="AD118">
        <v>1</v>
      </c>
      <c r="AE118">
        <v>52</v>
      </c>
      <c r="AF118">
        <v>265</v>
      </c>
      <c r="AG118" t="s">
        <v>47</v>
      </c>
      <c r="AH118" t="s">
        <v>48</v>
      </c>
      <c r="AI118" t="s">
        <v>49</v>
      </c>
      <c r="AJ118" t="s">
        <v>50</v>
      </c>
      <c r="AK118" t="s">
        <v>51</v>
      </c>
      <c r="AL118">
        <v>3.6726999999999999</v>
      </c>
      <c r="AM118" t="s">
        <v>52</v>
      </c>
      <c r="AN118" t="s">
        <v>162</v>
      </c>
      <c r="AO118" t="s">
        <v>163</v>
      </c>
      <c r="AP118" t="s">
        <v>164</v>
      </c>
      <c r="AQ118" t="s">
        <v>55</v>
      </c>
    </row>
    <row r="119" spans="1:43" x14ac:dyDescent="0.3">
      <c r="A119" t="s">
        <v>43</v>
      </c>
      <c r="B119">
        <v>2020</v>
      </c>
      <c r="C119">
        <v>299</v>
      </c>
      <c r="D119">
        <v>5511</v>
      </c>
      <c r="E119">
        <v>10</v>
      </c>
      <c r="F119">
        <v>202305</v>
      </c>
      <c r="G119">
        <v>1101208</v>
      </c>
      <c r="H119" t="s">
        <v>160</v>
      </c>
      <c r="I119" t="s">
        <v>45</v>
      </c>
      <c r="J119">
        <v>7</v>
      </c>
      <c r="K119">
        <f t="shared" ca="1" si="12"/>
        <v>46</v>
      </c>
      <c r="L119">
        <f t="shared" ca="1" si="13"/>
        <v>58</v>
      </c>
      <c r="M119">
        <f t="shared" ca="1" si="14"/>
        <v>477</v>
      </c>
      <c r="N119">
        <f t="shared" ca="1" si="14"/>
        <v>367</v>
      </c>
      <c r="O119">
        <f t="shared" ca="1" si="11"/>
        <v>69</v>
      </c>
      <c r="P119">
        <f t="shared" ca="1" si="15"/>
        <v>1225</v>
      </c>
      <c r="Q119">
        <f t="shared" ca="1" si="16"/>
        <v>777</v>
      </c>
      <c r="R119">
        <f t="shared" ca="1" si="17"/>
        <v>32</v>
      </c>
      <c r="S119">
        <f t="shared" ca="1" si="18"/>
        <v>13218</v>
      </c>
      <c r="T119">
        <f t="shared" ca="1" si="19"/>
        <v>4853</v>
      </c>
      <c r="U119">
        <f t="shared" ca="1" si="20"/>
        <v>52</v>
      </c>
      <c r="V119">
        <v>0</v>
      </c>
      <c r="W119">
        <v>0</v>
      </c>
      <c r="X119">
        <f t="shared" ca="1" si="21"/>
        <v>-93</v>
      </c>
      <c r="Y119">
        <v>0</v>
      </c>
      <c r="Z119">
        <v>0</v>
      </c>
      <c r="AA119">
        <v>79</v>
      </c>
      <c r="AB119" t="s">
        <v>65</v>
      </c>
      <c r="AC119" t="s">
        <v>174</v>
      </c>
      <c r="AD119">
        <v>1</v>
      </c>
      <c r="AE119">
        <v>52</v>
      </c>
      <c r="AF119">
        <v>265</v>
      </c>
      <c r="AG119" t="s">
        <v>47</v>
      </c>
      <c r="AH119" t="s">
        <v>48</v>
      </c>
      <c r="AI119" t="s">
        <v>49</v>
      </c>
      <c r="AJ119" t="s">
        <v>50</v>
      </c>
      <c r="AK119" t="s">
        <v>51</v>
      </c>
      <c r="AL119">
        <v>3.6726999999999999</v>
      </c>
      <c r="AM119" t="s">
        <v>52</v>
      </c>
      <c r="AN119" t="s">
        <v>162</v>
      </c>
      <c r="AO119" t="s">
        <v>163</v>
      </c>
      <c r="AP119" t="s">
        <v>164</v>
      </c>
      <c r="AQ119" t="s">
        <v>55</v>
      </c>
    </row>
    <row r="120" spans="1:43" x14ac:dyDescent="0.3">
      <c r="A120" t="s">
        <v>43</v>
      </c>
      <c r="B120">
        <v>2020</v>
      </c>
      <c r="C120">
        <v>299</v>
      </c>
      <c r="D120">
        <v>5511</v>
      </c>
      <c r="E120">
        <v>10</v>
      </c>
      <c r="F120">
        <v>202305</v>
      </c>
      <c r="G120">
        <v>1101209</v>
      </c>
      <c r="H120" t="s">
        <v>160</v>
      </c>
      <c r="I120" t="s">
        <v>45</v>
      </c>
      <c r="J120">
        <v>7</v>
      </c>
      <c r="K120">
        <f t="shared" ca="1" si="12"/>
        <v>6</v>
      </c>
      <c r="L120">
        <f t="shared" ca="1" si="13"/>
        <v>-17</v>
      </c>
      <c r="M120">
        <f t="shared" ca="1" si="14"/>
        <v>36</v>
      </c>
      <c r="N120">
        <f t="shared" ca="1" si="14"/>
        <v>219</v>
      </c>
      <c r="O120">
        <f t="shared" ca="1" si="11"/>
        <v>139</v>
      </c>
      <c r="P120">
        <f t="shared" ca="1" si="15"/>
        <v>162</v>
      </c>
      <c r="Q120">
        <f t="shared" ca="1" si="16"/>
        <v>1060</v>
      </c>
      <c r="R120">
        <f t="shared" ca="1" si="17"/>
        <v>315</v>
      </c>
      <c r="S120">
        <f t="shared" ca="1" si="18"/>
        <v>7146</v>
      </c>
      <c r="T120">
        <f t="shared" ca="1" si="19"/>
        <v>9479</v>
      </c>
      <c r="U120">
        <f t="shared" ca="1" si="20"/>
        <v>-63</v>
      </c>
      <c r="V120">
        <v>0</v>
      </c>
      <c r="W120">
        <v>0</v>
      </c>
      <c r="X120">
        <f t="shared" ca="1" si="21"/>
        <v>-63</v>
      </c>
      <c r="Y120">
        <v>0</v>
      </c>
      <c r="Z120">
        <v>0</v>
      </c>
      <c r="AA120">
        <v>50</v>
      </c>
      <c r="AB120" t="s">
        <v>65</v>
      </c>
      <c r="AC120" t="s">
        <v>175</v>
      </c>
      <c r="AD120">
        <v>1</v>
      </c>
      <c r="AE120">
        <v>52</v>
      </c>
      <c r="AF120">
        <v>265</v>
      </c>
      <c r="AG120" t="s">
        <v>47</v>
      </c>
      <c r="AH120" t="s">
        <v>48</v>
      </c>
      <c r="AI120" t="s">
        <v>49</v>
      </c>
      <c r="AJ120" t="s">
        <v>50</v>
      </c>
      <c r="AK120" t="s">
        <v>51</v>
      </c>
      <c r="AL120">
        <v>3.6726999999999999</v>
      </c>
      <c r="AM120" t="s">
        <v>52</v>
      </c>
      <c r="AN120" t="s">
        <v>162</v>
      </c>
      <c r="AO120" t="s">
        <v>163</v>
      </c>
      <c r="AP120" t="s">
        <v>164</v>
      </c>
      <c r="AQ120" t="s">
        <v>55</v>
      </c>
    </row>
    <row r="121" spans="1:43" x14ac:dyDescent="0.3">
      <c r="A121" t="s">
        <v>43</v>
      </c>
      <c r="B121">
        <v>2020</v>
      </c>
      <c r="C121">
        <v>299</v>
      </c>
      <c r="D121">
        <v>5511</v>
      </c>
      <c r="E121">
        <v>10</v>
      </c>
      <c r="F121">
        <v>202305</v>
      </c>
      <c r="G121">
        <v>1115110</v>
      </c>
      <c r="H121" t="s">
        <v>160</v>
      </c>
      <c r="I121" t="s">
        <v>45</v>
      </c>
      <c r="J121">
        <v>7</v>
      </c>
      <c r="K121">
        <f t="shared" ca="1" si="12"/>
        <v>68</v>
      </c>
      <c r="L121">
        <f t="shared" ca="1" si="13"/>
        <v>-2</v>
      </c>
      <c r="M121">
        <f t="shared" ca="1" si="14"/>
        <v>140</v>
      </c>
      <c r="N121">
        <f t="shared" ca="1" si="14"/>
        <v>-58</v>
      </c>
      <c r="O121">
        <f t="shared" ca="1" si="11"/>
        <v>186</v>
      </c>
      <c r="P121">
        <f t="shared" ca="1" si="15"/>
        <v>1489</v>
      </c>
      <c r="Q121">
        <f t="shared" ca="1" si="16"/>
        <v>1105</v>
      </c>
      <c r="R121">
        <f t="shared" ca="1" si="17"/>
        <v>156</v>
      </c>
      <c r="S121">
        <f t="shared" ca="1" si="18"/>
        <v>11606</v>
      </c>
      <c r="T121">
        <f t="shared" ca="1" si="19"/>
        <v>4735</v>
      </c>
      <c r="U121">
        <f t="shared" ca="1" si="20"/>
        <v>-27</v>
      </c>
      <c r="V121">
        <v>0</v>
      </c>
      <c r="W121">
        <v>0</v>
      </c>
      <c r="X121">
        <f t="shared" ca="1" si="21"/>
        <v>-252</v>
      </c>
      <c r="Y121">
        <v>0</v>
      </c>
      <c r="Z121">
        <v>0</v>
      </c>
      <c r="AA121">
        <v>100</v>
      </c>
      <c r="AB121" t="s">
        <v>65</v>
      </c>
      <c r="AC121" t="s">
        <v>176</v>
      </c>
      <c r="AD121">
        <v>1</v>
      </c>
      <c r="AE121">
        <v>52</v>
      </c>
      <c r="AF121">
        <v>265</v>
      </c>
      <c r="AG121" t="s">
        <v>47</v>
      </c>
      <c r="AH121" t="s">
        <v>48</v>
      </c>
      <c r="AI121" t="s">
        <v>49</v>
      </c>
      <c r="AJ121" t="s">
        <v>50</v>
      </c>
      <c r="AK121" t="s">
        <v>51</v>
      </c>
      <c r="AL121">
        <v>3.6726999999999999</v>
      </c>
      <c r="AM121" t="s">
        <v>52</v>
      </c>
      <c r="AN121" t="s">
        <v>162</v>
      </c>
      <c r="AO121" t="s">
        <v>163</v>
      </c>
      <c r="AP121" t="s">
        <v>164</v>
      </c>
      <c r="AQ121" t="s">
        <v>55</v>
      </c>
    </row>
    <row r="122" spans="1:43" x14ac:dyDescent="0.3">
      <c r="A122" t="s">
        <v>43</v>
      </c>
      <c r="B122">
        <v>2020</v>
      </c>
      <c r="C122">
        <v>299</v>
      </c>
      <c r="D122">
        <v>5511</v>
      </c>
      <c r="E122">
        <v>10</v>
      </c>
      <c r="F122">
        <v>202305</v>
      </c>
      <c r="G122">
        <v>1200111</v>
      </c>
      <c r="H122" t="s">
        <v>160</v>
      </c>
      <c r="I122" t="s">
        <v>45</v>
      </c>
      <c r="J122">
        <v>7</v>
      </c>
      <c r="K122">
        <f t="shared" ca="1" si="12"/>
        <v>32</v>
      </c>
      <c r="L122">
        <f t="shared" ca="1" si="13"/>
        <v>51</v>
      </c>
      <c r="M122">
        <f t="shared" ca="1" si="14"/>
        <v>306</v>
      </c>
      <c r="N122">
        <f t="shared" ca="1" si="14"/>
        <v>-4</v>
      </c>
      <c r="O122">
        <f t="shared" ca="1" si="11"/>
        <v>93</v>
      </c>
      <c r="P122">
        <f t="shared" ca="1" si="15"/>
        <v>1489</v>
      </c>
      <c r="Q122">
        <f t="shared" ca="1" si="16"/>
        <v>559</v>
      </c>
      <c r="R122">
        <f t="shared" ca="1" si="17"/>
        <v>245</v>
      </c>
      <c r="S122">
        <f t="shared" ca="1" si="18"/>
        <v>2264</v>
      </c>
      <c r="T122">
        <f t="shared" ca="1" si="19"/>
        <v>7584</v>
      </c>
      <c r="U122">
        <f t="shared" ca="1" si="20"/>
        <v>975</v>
      </c>
      <c r="V122">
        <v>0</v>
      </c>
      <c r="W122">
        <v>0</v>
      </c>
      <c r="X122">
        <f t="shared" ca="1" si="21"/>
        <v>-291</v>
      </c>
      <c r="Y122">
        <v>0</v>
      </c>
      <c r="Z122">
        <v>0</v>
      </c>
      <c r="AA122">
        <v>100</v>
      </c>
      <c r="AB122" t="s">
        <v>177</v>
      </c>
      <c r="AC122" t="s">
        <v>178</v>
      </c>
      <c r="AD122">
        <v>1</v>
      </c>
      <c r="AE122">
        <v>52</v>
      </c>
      <c r="AF122">
        <v>265</v>
      </c>
      <c r="AG122" t="s">
        <v>47</v>
      </c>
      <c r="AH122" t="s">
        <v>48</v>
      </c>
      <c r="AI122" t="s">
        <v>49</v>
      </c>
      <c r="AJ122" t="s">
        <v>50</v>
      </c>
      <c r="AK122" t="s">
        <v>51</v>
      </c>
      <c r="AL122">
        <v>3.6726999999999999</v>
      </c>
      <c r="AM122" t="s">
        <v>52</v>
      </c>
      <c r="AN122" t="s">
        <v>162</v>
      </c>
      <c r="AO122" t="s">
        <v>163</v>
      </c>
      <c r="AP122" t="s">
        <v>164</v>
      </c>
      <c r="AQ122" t="s">
        <v>55</v>
      </c>
    </row>
    <row r="123" spans="1:43" x14ac:dyDescent="0.3">
      <c r="A123" t="s">
        <v>43</v>
      </c>
      <c r="B123">
        <v>2020</v>
      </c>
      <c r="C123">
        <v>299</v>
      </c>
      <c r="D123">
        <v>5511</v>
      </c>
      <c r="E123">
        <v>10</v>
      </c>
      <c r="F123">
        <v>202305</v>
      </c>
      <c r="G123">
        <v>1200112</v>
      </c>
      <c r="H123" t="s">
        <v>160</v>
      </c>
      <c r="I123" t="s">
        <v>45</v>
      </c>
      <c r="J123">
        <v>7</v>
      </c>
      <c r="K123">
        <f t="shared" ca="1" si="12"/>
        <v>4</v>
      </c>
      <c r="L123">
        <f t="shared" ca="1" si="13"/>
        <v>80</v>
      </c>
      <c r="M123">
        <f t="shared" ca="1" si="14"/>
        <v>192</v>
      </c>
      <c r="N123">
        <f t="shared" ca="1" si="14"/>
        <v>461</v>
      </c>
      <c r="O123">
        <f t="shared" ca="1" si="11"/>
        <v>138</v>
      </c>
      <c r="P123">
        <f t="shared" ca="1" si="15"/>
        <v>-400</v>
      </c>
      <c r="Q123">
        <f t="shared" ca="1" si="16"/>
        <v>392</v>
      </c>
      <c r="R123">
        <f t="shared" ca="1" si="17"/>
        <v>250</v>
      </c>
      <c r="S123">
        <f t="shared" ca="1" si="18"/>
        <v>11784</v>
      </c>
      <c r="T123">
        <f t="shared" ca="1" si="19"/>
        <v>815</v>
      </c>
      <c r="U123">
        <f t="shared" ca="1" si="20"/>
        <v>489</v>
      </c>
      <c r="V123">
        <v>0</v>
      </c>
      <c r="W123">
        <v>0</v>
      </c>
      <c r="X123">
        <f t="shared" ca="1" si="21"/>
        <v>-232</v>
      </c>
      <c r="Y123">
        <v>0</v>
      </c>
      <c r="Z123">
        <v>0</v>
      </c>
      <c r="AA123">
        <v>100</v>
      </c>
      <c r="AB123" t="s">
        <v>177</v>
      </c>
      <c r="AC123" t="s">
        <v>179</v>
      </c>
      <c r="AD123">
        <v>1</v>
      </c>
      <c r="AE123">
        <v>52</v>
      </c>
      <c r="AF123">
        <v>265</v>
      </c>
      <c r="AG123" t="s">
        <v>47</v>
      </c>
      <c r="AH123" t="s">
        <v>48</v>
      </c>
      <c r="AI123" t="s">
        <v>49</v>
      </c>
      <c r="AJ123" t="s">
        <v>50</v>
      </c>
      <c r="AK123" t="s">
        <v>51</v>
      </c>
      <c r="AL123">
        <v>3.6726999999999999</v>
      </c>
      <c r="AM123" t="s">
        <v>52</v>
      </c>
      <c r="AN123" t="s">
        <v>162</v>
      </c>
      <c r="AO123" t="s">
        <v>163</v>
      </c>
      <c r="AP123" t="s">
        <v>164</v>
      </c>
      <c r="AQ123" t="s">
        <v>55</v>
      </c>
    </row>
    <row r="124" spans="1:43" x14ac:dyDescent="0.3">
      <c r="A124" t="s">
        <v>43</v>
      </c>
      <c r="B124">
        <v>2020</v>
      </c>
      <c r="C124">
        <v>299</v>
      </c>
      <c r="D124">
        <v>5511</v>
      </c>
      <c r="E124">
        <v>10</v>
      </c>
      <c r="F124">
        <v>202305</v>
      </c>
      <c r="G124">
        <v>1200113</v>
      </c>
      <c r="H124" t="s">
        <v>160</v>
      </c>
      <c r="I124" t="s">
        <v>45</v>
      </c>
      <c r="J124">
        <v>7</v>
      </c>
      <c r="K124">
        <f t="shared" ca="1" si="12"/>
        <v>96</v>
      </c>
      <c r="L124">
        <f t="shared" ca="1" si="13"/>
        <v>-37</v>
      </c>
      <c r="M124">
        <f t="shared" ca="1" si="14"/>
        <v>373</v>
      </c>
      <c r="N124">
        <f t="shared" ca="1" si="14"/>
        <v>148</v>
      </c>
      <c r="O124">
        <f t="shared" ca="1" si="11"/>
        <v>702</v>
      </c>
      <c r="P124">
        <f t="shared" ca="1" si="15"/>
        <v>357</v>
      </c>
      <c r="Q124">
        <f t="shared" ca="1" si="16"/>
        <v>748</v>
      </c>
      <c r="R124">
        <f t="shared" ca="1" si="17"/>
        <v>143</v>
      </c>
      <c r="S124">
        <f t="shared" ca="1" si="18"/>
        <v>10622</v>
      </c>
      <c r="T124">
        <f t="shared" ca="1" si="19"/>
        <v>1150</v>
      </c>
      <c r="U124">
        <f t="shared" ca="1" si="20"/>
        <v>611</v>
      </c>
      <c r="V124">
        <v>0</v>
      </c>
      <c r="W124">
        <v>0</v>
      </c>
      <c r="X124">
        <f t="shared" ca="1" si="21"/>
        <v>-47</v>
      </c>
      <c r="Y124">
        <v>0</v>
      </c>
      <c r="Z124">
        <v>0</v>
      </c>
      <c r="AA124">
        <v>24</v>
      </c>
      <c r="AB124" t="s">
        <v>177</v>
      </c>
      <c r="AC124" t="s">
        <v>180</v>
      </c>
      <c r="AD124">
        <v>1</v>
      </c>
      <c r="AE124">
        <v>52</v>
      </c>
      <c r="AF124">
        <v>265</v>
      </c>
      <c r="AG124" t="s">
        <v>47</v>
      </c>
      <c r="AH124" t="s">
        <v>48</v>
      </c>
      <c r="AI124" t="s">
        <v>49</v>
      </c>
      <c r="AJ124" t="s">
        <v>50</v>
      </c>
      <c r="AK124" t="s">
        <v>51</v>
      </c>
      <c r="AL124">
        <v>3.6726999999999999</v>
      </c>
      <c r="AM124" t="s">
        <v>52</v>
      </c>
      <c r="AN124" t="s">
        <v>162</v>
      </c>
      <c r="AO124" t="s">
        <v>163</v>
      </c>
      <c r="AP124" t="s">
        <v>164</v>
      </c>
      <c r="AQ124" t="s">
        <v>55</v>
      </c>
    </row>
    <row r="125" spans="1:43" x14ac:dyDescent="0.3">
      <c r="A125" t="s">
        <v>43</v>
      </c>
      <c r="B125">
        <v>2020</v>
      </c>
      <c r="C125">
        <v>299</v>
      </c>
      <c r="D125">
        <v>5511</v>
      </c>
      <c r="E125">
        <v>10</v>
      </c>
      <c r="F125">
        <v>202305</v>
      </c>
      <c r="G125">
        <v>1200114</v>
      </c>
      <c r="H125" t="s">
        <v>160</v>
      </c>
      <c r="I125" t="s">
        <v>45</v>
      </c>
      <c r="J125">
        <v>7</v>
      </c>
      <c r="K125">
        <f t="shared" ca="1" si="12"/>
        <v>17</v>
      </c>
      <c r="L125">
        <f t="shared" ca="1" si="13"/>
        <v>21</v>
      </c>
      <c r="M125">
        <f t="shared" ca="1" si="14"/>
        <v>312</v>
      </c>
      <c r="N125">
        <f t="shared" ca="1" si="14"/>
        <v>-57</v>
      </c>
      <c r="O125">
        <f t="shared" ca="1" si="11"/>
        <v>286</v>
      </c>
      <c r="P125">
        <f t="shared" ca="1" si="15"/>
        <v>1437</v>
      </c>
      <c r="Q125">
        <f t="shared" ca="1" si="16"/>
        <v>69</v>
      </c>
      <c r="R125">
        <f t="shared" ca="1" si="17"/>
        <v>272</v>
      </c>
      <c r="S125">
        <f t="shared" ca="1" si="18"/>
        <v>11747</v>
      </c>
      <c r="T125">
        <f t="shared" ca="1" si="19"/>
        <v>7619</v>
      </c>
      <c r="U125">
        <f t="shared" ca="1" si="20"/>
        <v>1288</v>
      </c>
      <c r="V125">
        <v>0</v>
      </c>
      <c r="W125">
        <v>0</v>
      </c>
      <c r="X125">
        <f t="shared" ca="1" si="21"/>
        <v>50</v>
      </c>
      <c r="Y125">
        <v>0</v>
      </c>
      <c r="Z125">
        <v>23</v>
      </c>
      <c r="AA125">
        <v>100</v>
      </c>
      <c r="AB125" t="s">
        <v>177</v>
      </c>
      <c r="AC125" t="s">
        <v>181</v>
      </c>
      <c r="AD125">
        <v>1</v>
      </c>
      <c r="AE125">
        <v>52</v>
      </c>
      <c r="AF125">
        <v>265</v>
      </c>
      <c r="AG125" t="s">
        <v>47</v>
      </c>
      <c r="AH125" t="s">
        <v>48</v>
      </c>
      <c r="AI125" t="s">
        <v>49</v>
      </c>
      <c r="AJ125" t="s">
        <v>50</v>
      </c>
      <c r="AK125" t="s">
        <v>51</v>
      </c>
      <c r="AL125">
        <v>3.6726999999999999</v>
      </c>
      <c r="AM125" t="s">
        <v>52</v>
      </c>
      <c r="AN125" t="s">
        <v>162</v>
      </c>
      <c r="AO125" t="s">
        <v>163</v>
      </c>
      <c r="AP125" t="s">
        <v>164</v>
      </c>
      <c r="AQ125" t="s">
        <v>55</v>
      </c>
    </row>
    <row r="126" spans="1:43" x14ac:dyDescent="0.3">
      <c r="A126" t="s">
        <v>43</v>
      </c>
      <c r="B126">
        <v>2020</v>
      </c>
      <c r="C126">
        <v>299</v>
      </c>
      <c r="D126">
        <v>5511</v>
      </c>
      <c r="E126">
        <v>10</v>
      </c>
      <c r="F126">
        <v>202305</v>
      </c>
      <c r="G126">
        <v>1200115</v>
      </c>
      <c r="H126" t="s">
        <v>160</v>
      </c>
      <c r="I126" t="s">
        <v>45</v>
      </c>
      <c r="J126">
        <v>7</v>
      </c>
      <c r="K126">
        <f t="shared" ca="1" si="12"/>
        <v>3</v>
      </c>
      <c r="L126">
        <f t="shared" ca="1" si="13"/>
        <v>-33</v>
      </c>
      <c r="M126">
        <f t="shared" ca="1" si="14"/>
        <v>-68</v>
      </c>
      <c r="N126">
        <f t="shared" ca="1" si="14"/>
        <v>263</v>
      </c>
      <c r="O126">
        <f t="shared" ca="1" si="11"/>
        <v>414</v>
      </c>
      <c r="P126">
        <f t="shared" ca="1" si="15"/>
        <v>-228</v>
      </c>
      <c r="Q126">
        <f t="shared" ca="1" si="16"/>
        <v>773</v>
      </c>
      <c r="R126">
        <f t="shared" ca="1" si="17"/>
        <v>449</v>
      </c>
      <c r="S126">
        <f t="shared" ca="1" si="18"/>
        <v>333</v>
      </c>
      <c r="T126">
        <f t="shared" ca="1" si="19"/>
        <v>8458</v>
      </c>
      <c r="U126">
        <f t="shared" ca="1" si="20"/>
        <v>1071</v>
      </c>
      <c r="V126">
        <v>0</v>
      </c>
      <c r="W126">
        <v>0</v>
      </c>
      <c r="X126">
        <f t="shared" ca="1" si="21"/>
        <v>-65</v>
      </c>
      <c r="Y126">
        <v>0</v>
      </c>
      <c r="Z126">
        <v>0</v>
      </c>
      <c r="AA126">
        <v>41</v>
      </c>
      <c r="AB126" t="s">
        <v>177</v>
      </c>
      <c r="AC126" t="s">
        <v>182</v>
      </c>
      <c r="AD126">
        <v>1</v>
      </c>
      <c r="AE126">
        <v>52</v>
      </c>
      <c r="AF126">
        <v>265</v>
      </c>
      <c r="AG126" t="s">
        <v>47</v>
      </c>
      <c r="AH126" t="s">
        <v>48</v>
      </c>
      <c r="AI126" t="s">
        <v>49</v>
      </c>
      <c r="AJ126" t="s">
        <v>50</v>
      </c>
      <c r="AK126" t="s">
        <v>51</v>
      </c>
      <c r="AL126">
        <v>3.6726999999999999</v>
      </c>
      <c r="AM126" t="s">
        <v>52</v>
      </c>
      <c r="AN126" t="s">
        <v>162</v>
      </c>
      <c r="AO126" t="s">
        <v>163</v>
      </c>
      <c r="AP126" t="s">
        <v>164</v>
      </c>
      <c r="AQ126" t="s">
        <v>55</v>
      </c>
    </row>
    <row r="127" spans="1:43" x14ac:dyDescent="0.3">
      <c r="A127" t="s">
        <v>43</v>
      </c>
      <c r="B127">
        <v>2020</v>
      </c>
      <c r="C127">
        <v>299</v>
      </c>
      <c r="D127">
        <v>5511</v>
      </c>
      <c r="E127">
        <v>10</v>
      </c>
      <c r="F127">
        <v>202305</v>
      </c>
      <c r="G127">
        <v>1200116</v>
      </c>
      <c r="H127" t="s">
        <v>160</v>
      </c>
      <c r="I127" t="s">
        <v>45</v>
      </c>
      <c r="J127">
        <v>7</v>
      </c>
      <c r="K127">
        <f t="shared" ca="1" si="12"/>
        <v>83</v>
      </c>
      <c r="L127">
        <f t="shared" ca="1" si="13"/>
        <v>-13</v>
      </c>
      <c r="M127">
        <f t="shared" ca="1" si="14"/>
        <v>243</v>
      </c>
      <c r="N127">
        <f t="shared" ca="1" si="14"/>
        <v>336</v>
      </c>
      <c r="O127">
        <f t="shared" ca="1" si="11"/>
        <v>607</v>
      </c>
      <c r="P127">
        <f t="shared" ca="1" si="15"/>
        <v>-197</v>
      </c>
      <c r="Q127">
        <f t="shared" ca="1" si="16"/>
        <v>874</v>
      </c>
      <c r="R127">
        <f t="shared" ca="1" si="17"/>
        <v>452</v>
      </c>
      <c r="S127">
        <f t="shared" ca="1" si="18"/>
        <v>3366</v>
      </c>
      <c r="T127">
        <f t="shared" ca="1" si="19"/>
        <v>8762</v>
      </c>
      <c r="U127">
        <f t="shared" ca="1" si="20"/>
        <v>280</v>
      </c>
      <c r="V127">
        <v>0</v>
      </c>
      <c r="W127">
        <v>0</v>
      </c>
      <c r="X127">
        <f t="shared" ca="1" si="21"/>
        <v>-414</v>
      </c>
      <c r="Y127">
        <v>0</v>
      </c>
      <c r="Z127">
        <v>0</v>
      </c>
      <c r="AA127">
        <v>47</v>
      </c>
      <c r="AB127" t="s">
        <v>177</v>
      </c>
      <c r="AC127" t="s">
        <v>183</v>
      </c>
      <c r="AD127">
        <v>1</v>
      </c>
      <c r="AE127">
        <v>52</v>
      </c>
      <c r="AF127">
        <v>265</v>
      </c>
      <c r="AG127" t="s">
        <v>47</v>
      </c>
      <c r="AH127" t="s">
        <v>48</v>
      </c>
      <c r="AI127" t="s">
        <v>49</v>
      </c>
      <c r="AJ127" t="s">
        <v>50</v>
      </c>
      <c r="AK127" t="s">
        <v>51</v>
      </c>
      <c r="AL127">
        <v>3.6726999999999999</v>
      </c>
      <c r="AM127" t="s">
        <v>52</v>
      </c>
      <c r="AN127" t="s">
        <v>162</v>
      </c>
      <c r="AO127" t="s">
        <v>163</v>
      </c>
      <c r="AP127" t="s">
        <v>164</v>
      </c>
      <c r="AQ127" t="s">
        <v>55</v>
      </c>
    </row>
    <row r="128" spans="1:43" x14ac:dyDescent="0.3">
      <c r="A128" t="s">
        <v>43</v>
      </c>
      <c r="B128">
        <v>2020</v>
      </c>
      <c r="C128">
        <v>299</v>
      </c>
      <c r="D128">
        <v>5511</v>
      </c>
      <c r="E128">
        <v>10</v>
      </c>
      <c r="F128">
        <v>202305</v>
      </c>
      <c r="G128">
        <v>1200117</v>
      </c>
      <c r="H128" t="s">
        <v>160</v>
      </c>
      <c r="I128" t="s">
        <v>45</v>
      </c>
      <c r="J128">
        <v>7</v>
      </c>
      <c r="K128">
        <f t="shared" ca="1" si="12"/>
        <v>76</v>
      </c>
      <c r="L128">
        <f t="shared" ca="1" si="13"/>
        <v>95</v>
      </c>
      <c r="M128">
        <f t="shared" ca="1" si="14"/>
        <v>367</v>
      </c>
      <c r="N128">
        <f t="shared" ca="1" si="14"/>
        <v>114</v>
      </c>
      <c r="O128">
        <f t="shared" ca="1" si="11"/>
        <v>887</v>
      </c>
      <c r="P128">
        <f t="shared" ca="1" si="15"/>
        <v>-229</v>
      </c>
      <c r="Q128">
        <f t="shared" ca="1" si="16"/>
        <v>1042</v>
      </c>
      <c r="R128">
        <f t="shared" ca="1" si="17"/>
        <v>374</v>
      </c>
      <c r="S128">
        <f t="shared" ca="1" si="18"/>
        <v>7213</v>
      </c>
      <c r="T128">
        <f t="shared" ca="1" si="19"/>
        <v>1411</v>
      </c>
      <c r="U128">
        <f t="shared" ca="1" si="20"/>
        <v>348</v>
      </c>
      <c r="V128">
        <v>0</v>
      </c>
      <c r="W128">
        <v>0</v>
      </c>
      <c r="X128">
        <f t="shared" ca="1" si="21"/>
        <v>-209</v>
      </c>
      <c r="Y128">
        <v>0</v>
      </c>
      <c r="Z128">
        <v>0</v>
      </c>
      <c r="AA128">
        <v>2</v>
      </c>
      <c r="AB128" t="s">
        <v>177</v>
      </c>
      <c r="AC128" t="s">
        <v>184</v>
      </c>
      <c r="AD128">
        <v>1</v>
      </c>
      <c r="AE128">
        <v>52</v>
      </c>
      <c r="AF128">
        <v>265</v>
      </c>
      <c r="AG128" t="s">
        <v>47</v>
      </c>
      <c r="AH128" t="s">
        <v>48</v>
      </c>
      <c r="AI128" t="s">
        <v>49</v>
      </c>
      <c r="AJ128" t="s">
        <v>50</v>
      </c>
      <c r="AK128" t="s">
        <v>51</v>
      </c>
      <c r="AL128">
        <v>3.6726999999999999</v>
      </c>
      <c r="AM128" t="s">
        <v>52</v>
      </c>
      <c r="AN128" t="s">
        <v>162</v>
      </c>
      <c r="AO128" t="s">
        <v>163</v>
      </c>
      <c r="AP128" t="s">
        <v>164</v>
      </c>
      <c r="AQ128" t="s">
        <v>55</v>
      </c>
    </row>
    <row r="129" spans="1:43" x14ac:dyDescent="0.3">
      <c r="A129" t="s">
        <v>43</v>
      </c>
      <c r="B129">
        <v>2020</v>
      </c>
      <c r="C129">
        <v>299</v>
      </c>
      <c r="D129">
        <v>5511</v>
      </c>
      <c r="E129">
        <v>10</v>
      </c>
      <c r="F129">
        <v>202305</v>
      </c>
      <c r="G129">
        <v>1200123</v>
      </c>
      <c r="H129" t="s">
        <v>160</v>
      </c>
      <c r="I129" t="s">
        <v>45</v>
      </c>
      <c r="J129">
        <v>7</v>
      </c>
      <c r="K129">
        <f t="shared" ca="1" si="12"/>
        <v>31</v>
      </c>
      <c r="L129">
        <f t="shared" ca="1" si="13"/>
        <v>93</v>
      </c>
      <c r="M129">
        <f t="shared" ca="1" si="14"/>
        <v>401</v>
      </c>
      <c r="N129">
        <f t="shared" ca="1" si="14"/>
        <v>339</v>
      </c>
      <c r="O129">
        <f t="shared" ca="1" si="11"/>
        <v>-56</v>
      </c>
      <c r="P129">
        <f t="shared" ca="1" si="15"/>
        <v>1233</v>
      </c>
      <c r="Q129">
        <f t="shared" ca="1" si="16"/>
        <v>788</v>
      </c>
      <c r="R129">
        <f t="shared" ca="1" si="17"/>
        <v>224</v>
      </c>
      <c r="S129">
        <f t="shared" ca="1" si="18"/>
        <v>4331</v>
      </c>
      <c r="T129">
        <f t="shared" ca="1" si="19"/>
        <v>6607</v>
      </c>
      <c r="U129">
        <f t="shared" ca="1" si="20"/>
        <v>322</v>
      </c>
      <c r="V129">
        <v>0</v>
      </c>
      <c r="W129">
        <v>0</v>
      </c>
      <c r="X129">
        <f t="shared" ca="1" si="21"/>
        <v>-364</v>
      </c>
      <c r="Y129">
        <v>0</v>
      </c>
      <c r="Z129">
        <v>0</v>
      </c>
      <c r="AA129">
        <v>5</v>
      </c>
      <c r="AB129" t="s">
        <v>177</v>
      </c>
      <c r="AC129" t="s">
        <v>185</v>
      </c>
      <c r="AD129">
        <v>1</v>
      </c>
      <c r="AE129">
        <v>52</v>
      </c>
      <c r="AF129">
        <v>265</v>
      </c>
      <c r="AG129" t="s">
        <v>47</v>
      </c>
      <c r="AH129" t="s">
        <v>48</v>
      </c>
      <c r="AI129" t="s">
        <v>49</v>
      </c>
      <c r="AJ129" t="s">
        <v>50</v>
      </c>
      <c r="AK129" t="s">
        <v>51</v>
      </c>
      <c r="AL129">
        <v>3.6726999999999999</v>
      </c>
      <c r="AM129" t="s">
        <v>52</v>
      </c>
      <c r="AN129" t="s">
        <v>162</v>
      </c>
      <c r="AO129" t="s">
        <v>163</v>
      </c>
      <c r="AP129" t="s">
        <v>164</v>
      </c>
      <c r="AQ129" t="s">
        <v>55</v>
      </c>
    </row>
    <row r="130" spans="1:43" x14ac:dyDescent="0.3">
      <c r="A130" t="s">
        <v>43</v>
      </c>
      <c r="B130">
        <v>2020</v>
      </c>
      <c r="C130">
        <v>299</v>
      </c>
      <c r="D130">
        <v>5511</v>
      </c>
      <c r="E130">
        <v>10</v>
      </c>
      <c r="F130">
        <v>202305</v>
      </c>
      <c r="G130">
        <v>1200126</v>
      </c>
      <c r="H130" t="s">
        <v>160</v>
      </c>
      <c r="I130" t="s">
        <v>45</v>
      </c>
      <c r="J130">
        <v>7</v>
      </c>
      <c r="K130">
        <f t="shared" ca="1" si="12"/>
        <v>36</v>
      </c>
      <c r="L130">
        <f t="shared" ca="1" si="13"/>
        <v>83</v>
      </c>
      <c r="M130">
        <f t="shared" ca="1" si="14"/>
        <v>130</v>
      </c>
      <c r="N130">
        <f t="shared" ca="1" si="14"/>
        <v>150</v>
      </c>
      <c r="O130">
        <f t="shared" ref="O130:O193" ca="1" si="22">RANDBETWEEN(-100, 1000)</f>
        <v>813</v>
      </c>
      <c r="P130">
        <f t="shared" ca="1" si="15"/>
        <v>1204</v>
      </c>
      <c r="Q130">
        <f t="shared" ca="1" si="16"/>
        <v>1186</v>
      </c>
      <c r="R130">
        <f t="shared" ca="1" si="17"/>
        <v>290</v>
      </c>
      <c r="S130">
        <f t="shared" ca="1" si="18"/>
        <v>13819</v>
      </c>
      <c r="T130">
        <f t="shared" ca="1" si="19"/>
        <v>3400</v>
      </c>
      <c r="U130">
        <f t="shared" ca="1" si="20"/>
        <v>635</v>
      </c>
      <c r="V130">
        <v>0</v>
      </c>
      <c r="W130">
        <v>0</v>
      </c>
      <c r="X130">
        <f t="shared" ca="1" si="21"/>
        <v>18</v>
      </c>
      <c r="Y130">
        <v>0</v>
      </c>
      <c r="Z130">
        <v>0</v>
      </c>
      <c r="AA130">
        <v>0</v>
      </c>
      <c r="AB130" t="s">
        <v>177</v>
      </c>
      <c r="AC130" t="s">
        <v>186</v>
      </c>
      <c r="AD130">
        <v>1</v>
      </c>
      <c r="AE130">
        <v>52</v>
      </c>
      <c r="AF130">
        <v>265</v>
      </c>
      <c r="AG130" t="s">
        <v>47</v>
      </c>
      <c r="AH130" t="s">
        <v>48</v>
      </c>
      <c r="AI130" t="s">
        <v>49</v>
      </c>
      <c r="AJ130" t="s">
        <v>50</v>
      </c>
      <c r="AK130" t="s">
        <v>51</v>
      </c>
      <c r="AL130">
        <v>3.6726999999999999</v>
      </c>
      <c r="AM130" t="s">
        <v>52</v>
      </c>
      <c r="AN130" t="s">
        <v>162</v>
      </c>
      <c r="AO130" t="s">
        <v>163</v>
      </c>
      <c r="AP130" t="s">
        <v>164</v>
      </c>
      <c r="AQ130" t="s">
        <v>55</v>
      </c>
    </row>
    <row r="131" spans="1:43" x14ac:dyDescent="0.3">
      <c r="A131" t="s">
        <v>43</v>
      </c>
      <c r="B131">
        <v>2020</v>
      </c>
      <c r="C131">
        <v>299</v>
      </c>
      <c r="D131">
        <v>5511</v>
      </c>
      <c r="E131">
        <v>10</v>
      </c>
      <c r="F131">
        <v>202305</v>
      </c>
      <c r="G131">
        <v>1300121</v>
      </c>
      <c r="H131" t="s">
        <v>160</v>
      </c>
      <c r="I131" t="s">
        <v>45</v>
      </c>
      <c r="J131">
        <v>7</v>
      </c>
      <c r="K131">
        <f t="shared" ref="K131:K194" ca="1" si="23">RANDBETWEEN(0, 100)</f>
        <v>59</v>
      </c>
      <c r="L131">
        <f t="shared" ref="L131:L194" ca="1" si="24">RANDBETWEEN(-100, 100)</f>
        <v>18</v>
      </c>
      <c r="M131">
        <f t="shared" ref="M131:N194" ca="1" si="25">RANDBETWEEN(-100, 500)</f>
        <v>-78</v>
      </c>
      <c r="N131">
        <f t="shared" ca="1" si="25"/>
        <v>467</v>
      </c>
      <c r="O131">
        <f t="shared" ca="1" si="22"/>
        <v>612</v>
      </c>
      <c r="P131">
        <f t="shared" ref="P131:P194" ca="1" si="26">RANDBETWEEN(-500, 1500)</f>
        <v>-194</v>
      </c>
      <c r="Q131">
        <f t="shared" ref="Q131:Q194" ca="1" si="27">RANDBETWEEN(0,1200)</f>
        <v>652</v>
      </c>
      <c r="R131">
        <f t="shared" ref="R131:R194" ca="1" si="28">RANDBETWEEN(-100, 500)</f>
        <v>34</v>
      </c>
      <c r="S131">
        <f t="shared" ref="S131:S194" ca="1" si="29">RANDBETWEEN(-100, 15000)</f>
        <v>10209</v>
      </c>
      <c r="T131">
        <f t="shared" ref="T131:T194" ca="1" si="30">RANDBETWEEN(-100, 10000)</f>
        <v>1313</v>
      </c>
      <c r="U131">
        <f t="shared" ref="U131:U194" ca="1" si="31">RANDBETWEEN(-100, 1300)</f>
        <v>1280</v>
      </c>
      <c r="V131">
        <v>0</v>
      </c>
      <c r="W131">
        <v>0</v>
      </c>
      <c r="X131">
        <f t="shared" ref="X131:X194" ca="1" si="32">RANDBETWEEN(-500, 100)</f>
        <v>-405</v>
      </c>
      <c r="Y131">
        <v>0</v>
      </c>
      <c r="Z131">
        <v>0</v>
      </c>
      <c r="AA131">
        <v>18</v>
      </c>
      <c r="AB131" t="s">
        <v>187</v>
      </c>
      <c r="AC131" t="s">
        <v>188</v>
      </c>
      <c r="AD131">
        <v>1</v>
      </c>
      <c r="AE131">
        <v>52</v>
      </c>
      <c r="AF131">
        <v>265</v>
      </c>
      <c r="AG131" t="s">
        <v>47</v>
      </c>
      <c r="AH131" t="s">
        <v>48</v>
      </c>
      <c r="AI131" t="s">
        <v>49</v>
      </c>
      <c r="AJ131" t="s">
        <v>50</v>
      </c>
      <c r="AK131" t="s">
        <v>51</v>
      </c>
      <c r="AL131">
        <v>3.6726999999999999</v>
      </c>
      <c r="AM131" t="s">
        <v>52</v>
      </c>
      <c r="AN131" t="s">
        <v>162</v>
      </c>
      <c r="AO131" t="s">
        <v>163</v>
      </c>
      <c r="AP131" t="s">
        <v>164</v>
      </c>
      <c r="AQ131" t="s">
        <v>55</v>
      </c>
    </row>
    <row r="132" spans="1:43" x14ac:dyDescent="0.3">
      <c r="A132" t="s">
        <v>43</v>
      </c>
      <c r="B132">
        <v>2020</v>
      </c>
      <c r="C132">
        <v>299</v>
      </c>
      <c r="D132">
        <v>5511</v>
      </c>
      <c r="E132">
        <v>10</v>
      </c>
      <c r="F132">
        <v>202305</v>
      </c>
      <c r="G132">
        <v>1300122</v>
      </c>
      <c r="H132" t="s">
        <v>160</v>
      </c>
      <c r="I132" t="s">
        <v>45</v>
      </c>
      <c r="J132">
        <v>7</v>
      </c>
      <c r="K132">
        <f t="shared" ca="1" si="23"/>
        <v>60</v>
      </c>
      <c r="L132">
        <f t="shared" ca="1" si="24"/>
        <v>-16</v>
      </c>
      <c r="M132">
        <f t="shared" ca="1" si="25"/>
        <v>236</v>
      </c>
      <c r="N132">
        <f t="shared" ca="1" si="25"/>
        <v>368</v>
      </c>
      <c r="O132">
        <f t="shared" ca="1" si="22"/>
        <v>146</v>
      </c>
      <c r="P132">
        <f t="shared" ca="1" si="26"/>
        <v>-131</v>
      </c>
      <c r="Q132">
        <f t="shared" ca="1" si="27"/>
        <v>323</v>
      </c>
      <c r="R132">
        <f t="shared" ca="1" si="28"/>
        <v>183</v>
      </c>
      <c r="S132">
        <f t="shared" ca="1" si="29"/>
        <v>9009</v>
      </c>
      <c r="T132">
        <f t="shared" ca="1" si="30"/>
        <v>7593</v>
      </c>
      <c r="U132">
        <f t="shared" ca="1" si="31"/>
        <v>998</v>
      </c>
      <c r="V132">
        <v>0</v>
      </c>
      <c r="W132">
        <v>0</v>
      </c>
      <c r="X132">
        <f t="shared" ca="1" si="32"/>
        <v>-312</v>
      </c>
      <c r="Y132">
        <v>0</v>
      </c>
      <c r="Z132">
        <v>0</v>
      </c>
      <c r="AA132">
        <v>16</v>
      </c>
      <c r="AB132" t="s">
        <v>187</v>
      </c>
      <c r="AC132" t="s">
        <v>189</v>
      </c>
      <c r="AD132">
        <v>1</v>
      </c>
      <c r="AE132">
        <v>52</v>
      </c>
      <c r="AF132">
        <v>265</v>
      </c>
      <c r="AG132" t="s">
        <v>47</v>
      </c>
      <c r="AH132" t="s">
        <v>48</v>
      </c>
      <c r="AI132" t="s">
        <v>49</v>
      </c>
      <c r="AJ132" t="s">
        <v>50</v>
      </c>
      <c r="AK132" t="s">
        <v>51</v>
      </c>
      <c r="AL132">
        <v>3.6726999999999999</v>
      </c>
      <c r="AM132" t="s">
        <v>52</v>
      </c>
      <c r="AN132" t="s">
        <v>162</v>
      </c>
      <c r="AO132" t="s">
        <v>163</v>
      </c>
      <c r="AP132" t="s">
        <v>164</v>
      </c>
      <c r="AQ132" t="s">
        <v>55</v>
      </c>
    </row>
    <row r="133" spans="1:43" x14ac:dyDescent="0.3">
      <c r="A133" t="s">
        <v>43</v>
      </c>
      <c r="B133">
        <v>2020</v>
      </c>
      <c r="C133">
        <v>299</v>
      </c>
      <c r="D133">
        <v>5511</v>
      </c>
      <c r="E133">
        <v>10</v>
      </c>
      <c r="F133">
        <v>202305</v>
      </c>
      <c r="G133">
        <v>1400120</v>
      </c>
      <c r="H133" t="s">
        <v>160</v>
      </c>
      <c r="I133" t="s">
        <v>45</v>
      </c>
      <c r="J133">
        <v>7</v>
      </c>
      <c r="K133">
        <f t="shared" ca="1" si="23"/>
        <v>88</v>
      </c>
      <c r="L133">
        <f t="shared" ca="1" si="24"/>
        <v>-76</v>
      </c>
      <c r="M133">
        <f t="shared" ca="1" si="25"/>
        <v>267</v>
      </c>
      <c r="N133">
        <f t="shared" ca="1" si="25"/>
        <v>129</v>
      </c>
      <c r="O133">
        <f t="shared" ca="1" si="22"/>
        <v>-55</v>
      </c>
      <c r="P133">
        <f t="shared" ca="1" si="26"/>
        <v>515</v>
      </c>
      <c r="Q133">
        <f t="shared" ca="1" si="27"/>
        <v>1092</v>
      </c>
      <c r="R133">
        <f t="shared" ca="1" si="28"/>
        <v>360</v>
      </c>
      <c r="S133">
        <f t="shared" ca="1" si="29"/>
        <v>4731</v>
      </c>
      <c r="T133">
        <f t="shared" ca="1" si="30"/>
        <v>7814</v>
      </c>
      <c r="U133">
        <f t="shared" ca="1" si="31"/>
        <v>672</v>
      </c>
      <c r="V133">
        <v>0</v>
      </c>
      <c r="W133">
        <v>0</v>
      </c>
      <c r="X133">
        <f t="shared" ca="1" si="32"/>
        <v>-104</v>
      </c>
      <c r="Y133">
        <v>0</v>
      </c>
      <c r="Z133">
        <v>0</v>
      </c>
      <c r="AA133">
        <v>0</v>
      </c>
      <c r="AB133" t="s">
        <v>190</v>
      </c>
      <c r="AC133" t="s">
        <v>191</v>
      </c>
      <c r="AD133">
        <v>1</v>
      </c>
      <c r="AE133">
        <v>52</v>
      </c>
      <c r="AF133">
        <v>265</v>
      </c>
      <c r="AG133" t="s">
        <v>47</v>
      </c>
      <c r="AH133" t="s">
        <v>48</v>
      </c>
      <c r="AI133" t="s">
        <v>49</v>
      </c>
      <c r="AJ133" t="s">
        <v>50</v>
      </c>
      <c r="AK133" t="s">
        <v>51</v>
      </c>
      <c r="AL133">
        <v>3.6726999999999999</v>
      </c>
      <c r="AM133" t="s">
        <v>52</v>
      </c>
      <c r="AN133" t="s">
        <v>162</v>
      </c>
      <c r="AO133" t="s">
        <v>163</v>
      </c>
      <c r="AP133" t="s">
        <v>164</v>
      </c>
      <c r="AQ133" t="s">
        <v>55</v>
      </c>
    </row>
    <row r="134" spans="1:43" x14ac:dyDescent="0.3">
      <c r="A134" t="s">
        <v>43</v>
      </c>
      <c r="B134">
        <v>2020</v>
      </c>
      <c r="C134">
        <v>299</v>
      </c>
      <c r="D134">
        <v>5511</v>
      </c>
      <c r="E134">
        <v>10</v>
      </c>
      <c r="F134">
        <v>202305</v>
      </c>
      <c r="G134">
        <v>1400131</v>
      </c>
      <c r="H134" t="s">
        <v>160</v>
      </c>
      <c r="I134" t="s">
        <v>45</v>
      </c>
      <c r="J134">
        <v>7</v>
      </c>
      <c r="K134">
        <f t="shared" ca="1" si="23"/>
        <v>8</v>
      </c>
      <c r="L134">
        <f t="shared" ca="1" si="24"/>
        <v>32</v>
      </c>
      <c r="M134">
        <f t="shared" ca="1" si="25"/>
        <v>465</v>
      </c>
      <c r="N134">
        <f t="shared" ca="1" si="25"/>
        <v>306</v>
      </c>
      <c r="O134">
        <f t="shared" ca="1" si="22"/>
        <v>845</v>
      </c>
      <c r="P134">
        <f t="shared" ca="1" si="26"/>
        <v>243</v>
      </c>
      <c r="Q134">
        <f t="shared" ca="1" si="27"/>
        <v>550</v>
      </c>
      <c r="R134">
        <f t="shared" ca="1" si="28"/>
        <v>467</v>
      </c>
      <c r="S134">
        <f t="shared" ca="1" si="29"/>
        <v>9554</v>
      </c>
      <c r="T134">
        <f t="shared" ca="1" si="30"/>
        <v>9683</v>
      </c>
      <c r="U134">
        <f t="shared" ca="1" si="31"/>
        <v>672</v>
      </c>
      <c r="V134">
        <v>0</v>
      </c>
      <c r="W134">
        <v>0</v>
      </c>
      <c r="X134">
        <f t="shared" ca="1" si="32"/>
        <v>-30</v>
      </c>
      <c r="Y134">
        <v>0</v>
      </c>
      <c r="Z134">
        <v>0</v>
      </c>
      <c r="AA134">
        <v>89</v>
      </c>
      <c r="AB134" t="s">
        <v>190</v>
      </c>
      <c r="AC134" t="s">
        <v>192</v>
      </c>
      <c r="AD134">
        <v>1</v>
      </c>
      <c r="AE134">
        <v>52</v>
      </c>
      <c r="AF134">
        <v>265</v>
      </c>
      <c r="AG134" t="s">
        <v>47</v>
      </c>
      <c r="AH134" t="s">
        <v>48</v>
      </c>
      <c r="AI134" t="s">
        <v>49</v>
      </c>
      <c r="AJ134" t="s">
        <v>50</v>
      </c>
      <c r="AK134" t="s">
        <v>51</v>
      </c>
      <c r="AL134">
        <v>3.6726999999999999</v>
      </c>
      <c r="AM134" t="s">
        <v>52</v>
      </c>
      <c r="AN134" t="s">
        <v>162</v>
      </c>
      <c r="AO134" t="s">
        <v>163</v>
      </c>
      <c r="AP134" t="s">
        <v>164</v>
      </c>
      <c r="AQ134" t="s">
        <v>55</v>
      </c>
    </row>
    <row r="135" spans="1:43" x14ac:dyDescent="0.3">
      <c r="A135" t="s">
        <v>43</v>
      </c>
      <c r="B135">
        <v>2020</v>
      </c>
      <c r="C135">
        <v>299</v>
      </c>
      <c r="D135">
        <v>5511</v>
      </c>
      <c r="E135">
        <v>10</v>
      </c>
      <c r="F135">
        <v>202305</v>
      </c>
      <c r="G135">
        <v>1400132</v>
      </c>
      <c r="H135" t="s">
        <v>160</v>
      </c>
      <c r="I135" t="s">
        <v>45</v>
      </c>
      <c r="J135">
        <v>7</v>
      </c>
      <c r="K135">
        <f t="shared" ca="1" si="23"/>
        <v>9</v>
      </c>
      <c r="L135">
        <f t="shared" ca="1" si="24"/>
        <v>40</v>
      </c>
      <c r="M135">
        <f t="shared" ca="1" si="25"/>
        <v>387</v>
      </c>
      <c r="N135">
        <f t="shared" ca="1" si="25"/>
        <v>22</v>
      </c>
      <c r="O135">
        <f t="shared" ca="1" si="22"/>
        <v>965</v>
      </c>
      <c r="P135">
        <f t="shared" ca="1" si="26"/>
        <v>1038</v>
      </c>
      <c r="Q135">
        <f t="shared" ca="1" si="27"/>
        <v>875</v>
      </c>
      <c r="R135">
        <f t="shared" ca="1" si="28"/>
        <v>358</v>
      </c>
      <c r="S135">
        <f t="shared" ca="1" si="29"/>
        <v>2988</v>
      </c>
      <c r="T135">
        <f t="shared" ca="1" si="30"/>
        <v>9388</v>
      </c>
      <c r="U135">
        <f t="shared" ca="1" si="31"/>
        <v>1014</v>
      </c>
      <c r="V135">
        <v>0</v>
      </c>
      <c r="W135">
        <v>0</v>
      </c>
      <c r="X135">
        <f t="shared" ca="1" si="32"/>
        <v>-201</v>
      </c>
      <c r="Y135">
        <v>0</v>
      </c>
      <c r="Z135">
        <v>0</v>
      </c>
      <c r="AA135">
        <v>98</v>
      </c>
      <c r="AB135" t="s">
        <v>190</v>
      </c>
      <c r="AC135" t="s">
        <v>193</v>
      </c>
      <c r="AD135">
        <v>1</v>
      </c>
      <c r="AE135">
        <v>52</v>
      </c>
      <c r="AF135">
        <v>265</v>
      </c>
      <c r="AG135" t="s">
        <v>47</v>
      </c>
      <c r="AH135" t="s">
        <v>48</v>
      </c>
      <c r="AI135" t="s">
        <v>49</v>
      </c>
      <c r="AJ135" t="s">
        <v>50</v>
      </c>
      <c r="AK135" t="s">
        <v>51</v>
      </c>
      <c r="AL135">
        <v>3.6726999999999999</v>
      </c>
      <c r="AM135" t="s">
        <v>52</v>
      </c>
      <c r="AN135" t="s">
        <v>162</v>
      </c>
      <c r="AO135" t="s">
        <v>163</v>
      </c>
      <c r="AP135" t="s">
        <v>164</v>
      </c>
      <c r="AQ135" t="s">
        <v>55</v>
      </c>
    </row>
    <row r="136" spans="1:43" x14ac:dyDescent="0.3">
      <c r="A136" t="s">
        <v>43</v>
      </c>
      <c r="B136">
        <v>2020</v>
      </c>
      <c r="C136">
        <v>299</v>
      </c>
      <c r="D136">
        <v>5511</v>
      </c>
      <c r="E136">
        <v>10</v>
      </c>
      <c r="F136">
        <v>202305</v>
      </c>
      <c r="G136">
        <v>1400133</v>
      </c>
      <c r="H136" t="s">
        <v>160</v>
      </c>
      <c r="I136" t="s">
        <v>45</v>
      </c>
      <c r="J136">
        <v>7</v>
      </c>
      <c r="K136">
        <f t="shared" ca="1" si="23"/>
        <v>61</v>
      </c>
      <c r="L136">
        <f t="shared" ca="1" si="24"/>
        <v>-24</v>
      </c>
      <c r="M136">
        <f t="shared" ca="1" si="25"/>
        <v>37</v>
      </c>
      <c r="N136">
        <f t="shared" ca="1" si="25"/>
        <v>155</v>
      </c>
      <c r="O136">
        <f t="shared" ca="1" si="22"/>
        <v>-11</v>
      </c>
      <c r="P136">
        <f t="shared" ca="1" si="26"/>
        <v>1002</v>
      </c>
      <c r="Q136">
        <f t="shared" ca="1" si="27"/>
        <v>1180</v>
      </c>
      <c r="R136">
        <f t="shared" ca="1" si="28"/>
        <v>262</v>
      </c>
      <c r="S136">
        <f t="shared" ca="1" si="29"/>
        <v>9768</v>
      </c>
      <c r="T136">
        <f t="shared" ca="1" si="30"/>
        <v>22</v>
      </c>
      <c r="U136">
        <f t="shared" ca="1" si="31"/>
        <v>27</v>
      </c>
      <c r="V136">
        <v>0</v>
      </c>
      <c r="W136">
        <v>0</v>
      </c>
      <c r="X136">
        <f t="shared" ca="1" si="32"/>
        <v>-209</v>
      </c>
      <c r="Y136">
        <v>0</v>
      </c>
      <c r="Z136">
        <v>523</v>
      </c>
      <c r="AA136">
        <v>100</v>
      </c>
      <c r="AB136" t="s">
        <v>190</v>
      </c>
      <c r="AC136" t="s">
        <v>194</v>
      </c>
      <c r="AD136">
        <v>1</v>
      </c>
      <c r="AE136">
        <v>52</v>
      </c>
      <c r="AF136">
        <v>265</v>
      </c>
      <c r="AG136" t="s">
        <v>47</v>
      </c>
      <c r="AH136" t="s">
        <v>48</v>
      </c>
      <c r="AI136" t="s">
        <v>49</v>
      </c>
      <c r="AJ136" t="s">
        <v>50</v>
      </c>
      <c r="AK136" t="s">
        <v>51</v>
      </c>
      <c r="AL136">
        <v>3.6726999999999999</v>
      </c>
      <c r="AM136" t="s">
        <v>52</v>
      </c>
      <c r="AN136" t="s">
        <v>162</v>
      </c>
      <c r="AO136" t="s">
        <v>163</v>
      </c>
      <c r="AP136" t="s">
        <v>164</v>
      </c>
      <c r="AQ136" t="s">
        <v>55</v>
      </c>
    </row>
    <row r="137" spans="1:43" x14ac:dyDescent="0.3">
      <c r="A137" t="s">
        <v>43</v>
      </c>
      <c r="B137">
        <v>2020</v>
      </c>
      <c r="C137">
        <v>299</v>
      </c>
      <c r="D137">
        <v>5511</v>
      </c>
      <c r="E137">
        <v>10</v>
      </c>
      <c r="F137">
        <v>202305</v>
      </c>
      <c r="G137">
        <v>1500141</v>
      </c>
      <c r="H137" t="s">
        <v>160</v>
      </c>
      <c r="I137" t="s">
        <v>45</v>
      </c>
      <c r="J137">
        <v>7</v>
      </c>
      <c r="K137">
        <f t="shared" ca="1" si="23"/>
        <v>49</v>
      </c>
      <c r="L137">
        <f t="shared" ca="1" si="24"/>
        <v>-30</v>
      </c>
      <c r="M137">
        <f t="shared" ca="1" si="25"/>
        <v>208</v>
      </c>
      <c r="N137">
        <f t="shared" ca="1" si="25"/>
        <v>-84</v>
      </c>
      <c r="O137">
        <f t="shared" ca="1" si="22"/>
        <v>146</v>
      </c>
      <c r="P137">
        <f t="shared" ca="1" si="26"/>
        <v>672</v>
      </c>
      <c r="Q137">
        <f t="shared" ca="1" si="27"/>
        <v>339</v>
      </c>
      <c r="R137">
        <f t="shared" ca="1" si="28"/>
        <v>461</v>
      </c>
      <c r="S137">
        <f t="shared" ca="1" si="29"/>
        <v>7498</v>
      </c>
      <c r="T137">
        <f t="shared" ca="1" si="30"/>
        <v>9012</v>
      </c>
      <c r="U137">
        <f t="shared" ca="1" si="31"/>
        <v>962</v>
      </c>
      <c r="V137">
        <v>0</v>
      </c>
      <c r="W137">
        <v>0</v>
      </c>
      <c r="X137">
        <f t="shared" ca="1" si="32"/>
        <v>-82</v>
      </c>
      <c r="Y137">
        <v>0</v>
      </c>
      <c r="Z137">
        <v>3</v>
      </c>
      <c r="AA137">
        <v>100</v>
      </c>
      <c r="AB137" t="s">
        <v>195</v>
      </c>
      <c r="AC137" t="s">
        <v>196</v>
      </c>
      <c r="AD137">
        <v>1</v>
      </c>
      <c r="AE137">
        <v>52</v>
      </c>
      <c r="AF137">
        <v>265</v>
      </c>
      <c r="AG137" t="s">
        <v>47</v>
      </c>
      <c r="AH137" t="s">
        <v>48</v>
      </c>
      <c r="AI137" t="s">
        <v>49</v>
      </c>
      <c r="AJ137" t="s">
        <v>50</v>
      </c>
      <c r="AK137" t="s">
        <v>51</v>
      </c>
      <c r="AL137">
        <v>3.6726999999999999</v>
      </c>
      <c r="AM137" t="s">
        <v>52</v>
      </c>
      <c r="AN137" t="s">
        <v>162</v>
      </c>
      <c r="AO137" t="s">
        <v>163</v>
      </c>
      <c r="AP137" t="s">
        <v>164</v>
      </c>
      <c r="AQ137" t="s">
        <v>55</v>
      </c>
    </row>
    <row r="138" spans="1:43" x14ac:dyDescent="0.3">
      <c r="A138" t="s">
        <v>43</v>
      </c>
      <c r="B138">
        <v>2020</v>
      </c>
      <c r="C138">
        <v>299</v>
      </c>
      <c r="D138">
        <v>5511</v>
      </c>
      <c r="E138">
        <v>10</v>
      </c>
      <c r="F138">
        <v>202305</v>
      </c>
      <c r="G138">
        <v>1500142</v>
      </c>
      <c r="H138" t="s">
        <v>160</v>
      </c>
      <c r="I138" t="s">
        <v>45</v>
      </c>
      <c r="J138">
        <v>7</v>
      </c>
      <c r="K138">
        <f t="shared" ca="1" si="23"/>
        <v>41</v>
      </c>
      <c r="L138">
        <f t="shared" ca="1" si="24"/>
        <v>17</v>
      </c>
      <c r="M138">
        <f t="shared" ca="1" si="25"/>
        <v>130</v>
      </c>
      <c r="N138">
        <f t="shared" ca="1" si="25"/>
        <v>-46</v>
      </c>
      <c r="O138">
        <f t="shared" ca="1" si="22"/>
        <v>361</v>
      </c>
      <c r="P138">
        <f t="shared" ca="1" si="26"/>
        <v>-418</v>
      </c>
      <c r="Q138">
        <f t="shared" ca="1" si="27"/>
        <v>693</v>
      </c>
      <c r="R138">
        <f t="shared" ca="1" si="28"/>
        <v>354</v>
      </c>
      <c r="S138">
        <f t="shared" ca="1" si="29"/>
        <v>8696</v>
      </c>
      <c r="T138">
        <f t="shared" ca="1" si="30"/>
        <v>3481</v>
      </c>
      <c r="U138">
        <f t="shared" ca="1" si="31"/>
        <v>950</v>
      </c>
      <c r="V138">
        <v>0</v>
      </c>
      <c r="W138">
        <v>0</v>
      </c>
      <c r="X138">
        <f t="shared" ca="1" si="32"/>
        <v>-475</v>
      </c>
      <c r="Y138">
        <v>0</v>
      </c>
      <c r="Z138">
        <v>0</v>
      </c>
      <c r="AA138">
        <v>83</v>
      </c>
      <c r="AB138" t="s">
        <v>195</v>
      </c>
      <c r="AC138" t="s">
        <v>197</v>
      </c>
      <c r="AD138">
        <v>1</v>
      </c>
      <c r="AE138">
        <v>52</v>
      </c>
      <c r="AF138">
        <v>265</v>
      </c>
      <c r="AG138" t="s">
        <v>47</v>
      </c>
      <c r="AH138" t="s">
        <v>48</v>
      </c>
      <c r="AI138" t="s">
        <v>49</v>
      </c>
      <c r="AJ138" t="s">
        <v>50</v>
      </c>
      <c r="AK138" t="s">
        <v>51</v>
      </c>
      <c r="AL138">
        <v>3.6726999999999999</v>
      </c>
      <c r="AM138" t="s">
        <v>52</v>
      </c>
      <c r="AN138" t="s">
        <v>162</v>
      </c>
      <c r="AO138" t="s">
        <v>163</v>
      </c>
      <c r="AP138" t="s">
        <v>164</v>
      </c>
      <c r="AQ138" t="s">
        <v>55</v>
      </c>
    </row>
    <row r="139" spans="1:43" x14ac:dyDescent="0.3">
      <c r="A139" t="s">
        <v>43</v>
      </c>
      <c r="B139">
        <v>2020</v>
      </c>
      <c r="C139">
        <v>299</v>
      </c>
      <c r="D139">
        <v>5511</v>
      </c>
      <c r="E139">
        <v>10</v>
      </c>
      <c r="F139">
        <v>202305</v>
      </c>
      <c r="G139">
        <v>1500143</v>
      </c>
      <c r="H139" t="s">
        <v>160</v>
      </c>
      <c r="I139" t="s">
        <v>45</v>
      </c>
      <c r="J139">
        <v>7</v>
      </c>
      <c r="K139">
        <f t="shared" ca="1" si="23"/>
        <v>22</v>
      </c>
      <c r="L139">
        <f t="shared" ca="1" si="24"/>
        <v>-23</v>
      </c>
      <c r="M139">
        <f t="shared" ca="1" si="25"/>
        <v>382</v>
      </c>
      <c r="N139">
        <f t="shared" ca="1" si="25"/>
        <v>496</v>
      </c>
      <c r="O139">
        <f t="shared" ca="1" si="22"/>
        <v>859</v>
      </c>
      <c r="P139">
        <f t="shared" ca="1" si="26"/>
        <v>567</v>
      </c>
      <c r="Q139">
        <f t="shared" ca="1" si="27"/>
        <v>969</v>
      </c>
      <c r="R139">
        <f t="shared" ca="1" si="28"/>
        <v>212</v>
      </c>
      <c r="S139">
        <f t="shared" ca="1" si="29"/>
        <v>3815</v>
      </c>
      <c r="T139">
        <f t="shared" ca="1" si="30"/>
        <v>899</v>
      </c>
      <c r="U139">
        <f t="shared" ca="1" si="31"/>
        <v>477</v>
      </c>
      <c r="V139">
        <v>0</v>
      </c>
      <c r="W139">
        <v>0</v>
      </c>
      <c r="X139">
        <f t="shared" ca="1" si="32"/>
        <v>-437</v>
      </c>
      <c r="Y139">
        <v>0</v>
      </c>
      <c r="Z139">
        <v>0</v>
      </c>
      <c r="AA139">
        <v>70</v>
      </c>
      <c r="AB139" t="s">
        <v>195</v>
      </c>
      <c r="AC139" t="s">
        <v>198</v>
      </c>
      <c r="AD139">
        <v>1</v>
      </c>
      <c r="AE139">
        <v>52</v>
      </c>
      <c r="AF139">
        <v>265</v>
      </c>
      <c r="AG139" t="s">
        <v>47</v>
      </c>
      <c r="AH139" t="s">
        <v>48</v>
      </c>
      <c r="AI139" t="s">
        <v>49</v>
      </c>
      <c r="AJ139" t="s">
        <v>50</v>
      </c>
      <c r="AK139" t="s">
        <v>51</v>
      </c>
      <c r="AL139">
        <v>3.6726999999999999</v>
      </c>
      <c r="AM139" t="s">
        <v>52</v>
      </c>
      <c r="AN139" t="s">
        <v>162</v>
      </c>
      <c r="AO139" t="s">
        <v>163</v>
      </c>
      <c r="AP139" t="s">
        <v>164</v>
      </c>
      <c r="AQ139" t="s">
        <v>55</v>
      </c>
    </row>
    <row r="140" spans="1:43" x14ac:dyDescent="0.3">
      <c r="A140" t="s">
        <v>43</v>
      </c>
      <c r="B140">
        <v>2020</v>
      </c>
      <c r="C140">
        <v>299</v>
      </c>
      <c r="D140">
        <v>5511</v>
      </c>
      <c r="E140">
        <v>10</v>
      </c>
      <c r="F140">
        <v>202305</v>
      </c>
      <c r="G140">
        <v>1600023</v>
      </c>
      <c r="H140" t="s">
        <v>160</v>
      </c>
      <c r="I140" t="s">
        <v>45</v>
      </c>
      <c r="J140">
        <v>7</v>
      </c>
      <c r="K140">
        <f t="shared" ca="1" si="23"/>
        <v>58</v>
      </c>
      <c r="L140">
        <f t="shared" ca="1" si="24"/>
        <v>-59</v>
      </c>
      <c r="M140">
        <f t="shared" ca="1" si="25"/>
        <v>299</v>
      </c>
      <c r="N140">
        <f t="shared" ca="1" si="25"/>
        <v>57</v>
      </c>
      <c r="O140">
        <f t="shared" ca="1" si="22"/>
        <v>784</v>
      </c>
      <c r="P140">
        <f t="shared" ca="1" si="26"/>
        <v>-482</v>
      </c>
      <c r="Q140">
        <f t="shared" ca="1" si="27"/>
        <v>702</v>
      </c>
      <c r="R140">
        <f t="shared" ca="1" si="28"/>
        <v>325</v>
      </c>
      <c r="S140">
        <f t="shared" ca="1" si="29"/>
        <v>7202</v>
      </c>
      <c r="T140">
        <f t="shared" ca="1" si="30"/>
        <v>3357</v>
      </c>
      <c r="U140">
        <f t="shared" ca="1" si="31"/>
        <v>1080</v>
      </c>
      <c r="V140">
        <v>0</v>
      </c>
      <c r="W140">
        <v>0</v>
      </c>
      <c r="X140">
        <f t="shared" ca="1" si="32"/>
        <v>-69</v>
      </c>
      <c r="Y140">
        <v>0</v>
      </c>
      <c r="Z140">
        <v>0</v>
      </c>
      <c r="AA140">
        <v>0</v>
      </c>
      <c r="AB140" t="s">
        <v>199</v>
      </c>
      <c r="AC140" t="s">
        <v>200</v>
      </c>
      <c r="AD140">
        <v>1</v>
      </c>
      <c r="AE140">
        <v>52</v>
      </c>
      <c r="AF140">
        <v>265</v>
      </c>
      <c r="AG140" t="s">
        <v>47</v>
      </c>
      <c r="AH140" t="s">
        <v>48</v>
      </c>
      <c r="AI140" t="s">
        <v>49</v>
      </c>
      <c r="AJ140" t="s">
        <v>50</v>
      </c>
      <c r="AK140" t="s">
        <v>51</v>
      </c>
      <c r="AL140">
        <v>3.6726999999999999</v>
      </c>
      <c r="AM140" t="s">
        <v>52</v>
      </c>
      <c r="AN140" t="s">
        <v>162</v>
      </c>
      <c r="AO140" t="s">
        <v>163</v>
      </c>
      <c r="AP140" t="s">
        <v>164</v>
      </c>
      <c r="AQ140" t="s">
        <v>55</v>
      </c>
    </row>
    <row r="141" spans="1:43" x14ac:dyDescent="0.3">
      <c r="A141" t="s">
        <v>43</v>
      </c>
      <c r="B141">
        <v>2020</v>
      </c>
      <c r="C141">
        <v>299</v>
      </c>
      <c r="D141">
        <v>5511</v>
      </c>
      <c r="E141">
        <v>10</v>
      </c>
      <c r="F141">
        <v>202305</v>
      </c>
      <c r="G141">
        <v>1600025</v>
      </c>
      <c r="H141" t="s">
        <v>160</v>
      </c>
      <c r="I141" t="s">
        <v>45</v>
      </c>
      <c r="J141">
        <v>7</v>
      </c>
      <c r="K141">
        <f t="shared" ca="1" si="23"/>
        <v>36</v>
      </c>
      <c r="L141">
        <f t="shared" ca="1" si="24"/>
        <v>-66</v>
      </c>
      <c r="M141">
        <f t="shared" ca="1" si="25"/>
        <v>61</v>
      </c>
      <c r="N141">
        <f t="shared" ca="1" si="25"/>
        <v>93</v>
      </c>
      <c r="O141">
        <f t="shared" ca="1" si="22"/>
        <v>999</v>
      </c>
      <c r="P141">
        <f t="shared" ca="1" si="26"/>
        <v>1258</v>
      </c>
      <c r="Q141">
        <f t="shared" ca="1" si="27"/>
        <v>100</v>
      </c>
      <c r="R141">
        <f t="shared" ca="1" si="28"/>
        <v>119</v>
      </c>
      <c r="S141">
        <f t="shared" ca="1" si="29"/>
        <v>3805</v>
      </c>
      <c r="T141">
        <f t="shared" ca="1" si="30"/>
        <v>1408</v>
      </c>
      <c r="U141">
        <f t="shared" ca="1" si="31"/>
        <v>611</v>
      </c>
      <c r="V141">
        <v>0</v>
      </c>
      <c r="W141">
        <v>0</v>
      </c>
      <c r="X141">
        <f t="shared" ca="1" si="32"/>
        <v>-266</v>
      </c>
      <c r="Y141">
        <v>0</v>
      </c>
      <c r="Z141">
        <v>0</v>
      </c>
      <c r="AA141">
        <v>0</v>
      </c>
      <c r="AB141" t="s">
        <v>199</v>
      </c>
      <c r="AC141" t="s">
        <v>151</v>
      </c>
      <c r="AD141">
        <v>1</v>
      </c>
      <c r="AE141">
        <v>52</v>
      </c>
      <c r="AF141">
        <v>265</v>
      </c>
      <c r="AG141" t="s">
        <v>47</v>
      </c>
      <c r="AH141" t="s">
        <v>48</v>
      </c>
      <c r="AI141" t="s">
        <v>49</v>
      </c>
      <c r="AJ141" t="s">
        <v>50</v>
      </c>
      <c r="AK141" t="s">
        <v>51</v>
      </c>
      <c r="AL141">
        <v>3.6726999999999999</v>
      </c>
      <c r="AM141" t="s">
        <v>52</v>
      </c>
      <c r="AN141" t="s">
        <v>162</v>
      </c>
      <c r="AO141" t="s">
        <v>163</v>
      </c>
      <c r="AP141" t="s">
        <v>164</v>
      </c>
      <c r="AQ141" t="s">
        <v>55</v>
      </c>
    </row>
    <row r="142" spans="1:43" x14ac:dyDescent="0.3">
      <c r="A142" t="s">
        <v>43</v>
      </c>
      <c r="B142">
        <v>2020</v>
      </c>
      <c r="C142">
        <v>299</v>
      </c>
      <c r="D142">
        <v>5511</v>
      </c>
      <c r="E142">
        <v>10</v>
      </c>
      <c r="F142">
        <v>202305</v>
      </c>
      <c r="G142">
        <v>1600102</v>
      </c>
      <c r="H142" t="s">
        <v>160</v>
      </c>
      <c r="I142" t="s">
        <v>45</v>
      </c>
      <c r="J142">
        <v>7</v>
      </c>
      <c r="K142">
        <f t="shared" ca="1" si="23"/>
        <v>20</v>
      </c>
      <c r="L142">
        <f t="shared" ca="1" si="24"/>
        <v>-67</v>
      </c>
      <c r="M142">
        <f t="shared" ca="1" si="25"/>
        <v>275</v>
      </c>
      <c r="N142">
        <f t="shared" ca="1" si="25"/>
        <v>-77</v>
      </c>
      <c r="O142">
        <f t="shared" ca="1" si="22"/>
        <v>154</v>
      </c>
      <c r="P142">
        <f t="shared" ca="1" si="26"/>
        <v>814</v>
      </c>
      <c r="Q142">
        <f t="shared" ca="1" si="27"/>
        <v>923</v>
      </c>
      <c r="R142">
        <f t="shared" ca="1" si="28"/>
        <v>-81</v>
      </c>
      <c r="S142">
        <f t="shared" ca="1" si="29"/>
        <v>10636</v>
      </c>
      <c r="T142">
        <f t="shared" ca="1" si="30"/>
        <v>37</v>
      </c>
      <c r="U142">
        <f t="shared" ca="1" si="31"/>
        <v>187</v>
      </c>
      <c r="V142">
        <v>0</v>
      </c>
      <c r="W142">
        <v>0</v>
      </c>
      <c r="X142">
        <f t="shared" ca="1" si="32"/>
        <v>-389</v>
      </c>
      <c r="Y142">
        <v>0</v>
      </c>
      <c r="Z142">
        <v>0</v>
      </c>
      <c r="AA142">
        <v>100</v>
      </c>
      <c r="AB142" t="s">
        <v>199</v>
      </c>
      <c r="AC142" t="s">
        <v>165</v>
      </c>
      <c r="AD142">
        <v>1</v>
      </c>
      <c r="AE142">
        <v>52</v>
      </c>
      <c r="AF142">
        <v>265</v>
      </c>
      <c r="AG142" t="s">
        <v>47</v>
      </c>
      <c r="AH142" t="s">
        <v>48</v>
      </c>
      <c r="AI142" t="s">
        <v>49</v>
      </c>
      <c r="AJ142" t="s">
        <v>50</v>
      </c>
      <c r="AK142" t="s">
        <v>51</v>
      </c>
      <c r="AL142">
        <v>3.6726999999999999</v>
      </c>
      <c r="AM142" t="s">
        <v>52</v>
      </c>
      <c r="AN142" t="s">
        <v>162</v>
      </c>
      <c r="AO142" t="s">
        <v>163</v>
      </c>
      <c r="AP142" t="s">
        <v>164</v>
      </c>
      <c r="AQ142" t="s">
        <v>55</v>
      </c>
    </row>
    <row r="143" spans="1:43" x14ac:dyDescent="0.3">
      <c r="A143" t="s">
        <v>43</v>
      </c>
      <c r="B143">
        <v>2020</v>
      </c>
      <c r="C143">
        <v>299</v>
      </c>
      <c r="D143">
        <v>5511</v>
      </c>
      <c r="E143">
        <v>10</v>
      </c>
      <c r="F143">
        <v>202305</v>
      </c>
      <c r="G143">
        <v>1600105</v>
      </c>
      <c r="H143" t="s">
        <v>160</v>
      </c>
      <c r="I143" t="s">
        <v>45</v>
      </c>
      <c r="J143">
        <v>7</v>
      </c>
      <c r="K143">
        <f t="shared" ca="1" si="23"/>
        <v>86</v>
      </c>
      <c r="L143">
        <f t="shared" ca="1" si="24"/>
        <v>95</v>
      </c>
      <c r="M143">
        <f t="shared" ca="1" si="25"/>
        <v>203</v>
      </c>
      <c r="N143">
        <f t="shared" ca="1" si="25"/>
        <v>373</v>
      </c>
      <c r="O143">
        <f t="shared" ca="1" si="22"/>
        <v>-71</v>
      </c>
      <c r="P143">
        <f t="shared" ca="1" si="26"/>
        <v>-131</v>
      </c>
      <c r="Q143">
        <f t="shared" ca="1" si="27"/>
        <v>167</v>
      </c>
      <c r="R143">
        <f t="shared" ca="1" si="28"/>
        <v>-91</v>
      </c>
      <c r="S143">
        <f t="shared" ca="1" si="29"/>
        <v>14131</v>
      </c>
      <c r="T143">
        <f t="shared" ca="1" si="30"/>
        <v>4999</v>
      </c>
      <c r="U143">
        <f t="shared" ca="1" si="31"/>
        <v>482</v>
      </c>
      <c r="V143">
        <v>0</v>
      </c>
      <c r="W143">
        <v>0</v>
      </c>
      <c r="X143">
        <f t="shared" ca="1" si="32"/>
        <v>-99</v>
      </c>
      <c r="Y143">
        <v>0</v>
      </c>
      <c r="Z143">
        <v>0</v>
      </c>
      <c r="AA143">
        <v>53</v>
      </c>
      <c r="AB143" t="s">
        <v>199</v>
      </c>
      <c r="AC143" t="s">
        <v>167</v>
      </c>
      <c r="AD143">
        <v>1</v>
      </c>
      <c r="AE143">
        <v>52</v>
      </c>
      <c r="AF143">
        <v>265</v>
      </c>
      <c r="AG143" t="s">
        <v>47</v>
      </c>
      <c r="AH143" t="s">
        <v>48</v>
      </c>
      <c r="AI143" t="s">
        <v>49</v>
      </c>
      <c r="AJ143" t="s">
        <v>50</v>
      </c>
      <c r="AK143" t="s">
        <v>51</v>
      </c>
      <c r="AL143">
        <v>3.6726999999999999</v>
      </c>
      <c r="AM143" t="s">
        <v>52</v>
      </c>
      <c r="AN143" t="s">
        <v>162</v>
      </c>
      <c r="AO143" t="s">
        <v>163</v>
      </c>
      <c r="AP143" t="s">
        <v>164</v>
      </c>
      <c r="AQ143" t="s">
        <v>55</v>
      </c>
    </row>
    <row r="144" spans="1:43" x14ac:dyDescent="0.3">
      <c r="A144" t="s">
        <v>43</v>
      </c>
      <c r="B144">
        <v>2020</v>
      </c>
      <c r="C144">
        <v>299</v>
      </c>
      <c r="D144">
        <v>5511</v>
      </c>
      <c r="E144">
        <v>10</v>
      </c>
      <c r="F144">
        <v>202305</v>
      </c>
      <c r="G144">
        <v>1600112</v>
      </c>
      <c r="H144" t="s">
        <v>160</v>
      </c>
      <c r="I144" t="s">
        <v>45</v>
      </c>
      <c r="J144">
        <v>7</v>
      </c>
      <c r="K144">
        <f t="shared" ca="1" si="23"/>
        <v>98</v>
      </c>
      <c r="L144">
        <f t="shared" ca="1" si="24"/>
        <v>-9</v>
      </c>
      <c r="M144">
        <f t="shared" ca="1" si="25"/>
        <v>49</v>
      </c>
      <c r="N144">
        <f t="shared" ca="1" si="25"/>
        <v>297</v>
      </c>
      <c r="O144">
        <f t="shared" ca="1" si="22"/>
        <v>483</v>
      </c>
      <c r="P144">
        <f t="shared" ca="1" si="26"/>
        <v>1357</v>
      </c>
      <c r="Q144">
        <f t="shared" ca="1" si="27"/>
        <v>637</v>
      </c>
      <c r="R144">
        <f t="shared" ca="1" si="28"/>
        <v>302</v>
      </c>
      <c r="S144">
        <f t="shared" ca="1" si="29"/>
        <v>7633</v>
      </c>
      <c r="T144">
        <f t="shared" ca="1" si="30"/>
        <v>4133</v>
      </c>
      <c r="U144">
        <f t="shared" ca="1" si="31"/>
        <v>341</v>
      </c>
      <c r="V144">
        <v>0</v>
      </c>
      <c r="W144">
        <v>0</v>
      </c>
      <c r="X144">
        <f t="shared" ca="1" si="32"/>
        <v>-399</v>
      </c>
      <c r="Y144">
        <v>0</v>
      </c>
      <c r="Z144">
        <v>0</v>
      </c>
      <c r="AA144">
        <v>-19</v>
      </c>
      <c r="AB144" t="s">
        <v>199</v>
      </c>
      <c r="AC144" t="s">
        <v>179</v>
      </c>
      <c r="AD144">
        <v>1</v>
      </c>
      <c r="AE144">
        <v>52</v>
      </c>
      <c r="AF144">
        <v>265</v>
      </c>
      <c r="AG144" t="s">
        <v>47</v>
      </c>
      <c r="AH144" t="s">
        <v>48</v>
      </c>
      <c r="AI144" t="s">
        <v>49</v>
      </c>
      <c r="AJ144" t="s">
        <v>50</v>
      </c>
      <c r="AK144" t="s">
        <v>51</v>
      </c>
      <c r="AL144">
        <v>3.6726999999999999</v>
      </c>
      <c r="AM144" t="s">
        <v>52</v>
      </c>
      <c r="AN144" t="s">
        <v>162</v>
      </c>
      <c r="AO144" t="s">
        <v>163</v>
      </c>
      <c r="AP144" t="s">
        <v>164</v>
      </c>
      <c r="AQ144" t="s">
        <v>55</v>
      </c>
    </row>
    <row r="145" spans="1:43" x14ac:dyDescent="0.3">
      <c r="A145" t="s">
        <v>43</v>
      </c>
      <c r="B145">
        <v>2020</v>
      </c>
      <c r="C145">
        <v>299</v>
      </c>
      <c r="D145">
        <v>5511</v>
      </c>
      <c r="E145">
        <v>10</v>
      </c>
      <c r="F145">
        <v>202305</v>
      </c>
      <c r="G145">
        <v>1600113</v>
      </c>
      <c r="H145" t="s">
        <v>160</v>
      </c>
      <c r="I145" t="s">
        <v>45</v>
      </c>
      <c r="J145">
        <v>7</v>
      </c>
      <c r="K145">
        <f t="shared" ca="1" si="23"/>
        <v>51</v>
      </c>
      <c r="L145">
        <f t="shared" ca="1" si="24"/>
        <v>93</v>
      </c>
      <c r="M145">
        <f t="shared" ca="1" si="25"/>
        <v>-11</v>
      </c>
      <c r="N145">
        <f t="shared" ca="1" si="25"/>
        <v>331</v>
      </c>
      <c r="O145">
        <f t="shared" ca="1" si="22"/>
        <v>773</v>
      </c>
      <c r="P145">
        <f t="shared" ca="1" si="26"/>
        <v>-318</v>
      </c>
      <c r="Q145">
        <f t="shared" ca="1" si="27"/>
        <v>575</v>
      </c>
      <c r="R145">
        <f t="shared" ca="1" si="28"/>
        <v>11</v>
      </c>
      <c r="S145">
        <f t="shared" ca="1" si="29"/>
        <v>13342</v>
      </c>
      <c r="T145">
        <f t="shared" ca="1" si="30"/>
        <v>4474</v>
      </c>
      <c r="U145">
        <f t="shared" ca="1" si="31"/>
        <v>256</v>
      </c>
      <c r="V145">
        <v>0</v>
      </c>
      <c r="W145">
        <v>0</v>
      </c>
      <c r="X145">
        <f t="shared" ca="1" si="32"/>
        <v>-39</v>
      </c>
      <c r="Y145">
        <v>0</v>
      </c>
      <c r="Z145">
        <v>0</v>
      </c>
      <c r="AA145">
        <v>100</v>
      </c>
      <c r="AB145" t="s">
        <v>199</v>
      </c>
      <c r="AC145" t="s">
        <v>180</v>
      </c>
      <c r="AD145">
        <v>1</v>
      </c>
      <c r="AE145">
        <v>52</v>
      </c>
      <c r="AF145">
        <v>265</v>
      </c>
      <c r="AG145" t="s">
        <v>47</v>
      </c>
      <c r="AH145" t="s">
        <v>48</v>
      </c>
      <c r="AI145" t="s">
        <v>49</v>
      </c>
      <c r="AJ145" t="s">
        <v>50</v>
      </c>
      <c r="AK145" t="s">
        <v>51</v>
      </c>
      <c r="AL145">
        <v>3.6726999999999999</v>
      </c>
      <c r="AM145" t="s">
        <v>52</v>
      </c>
      <c r="AN145" t="s">
        <v>162</v>
      </c>
      <c r="AO145" t="s">
        <v>163</v>
      </c>
      <c r="AP145" t="s">
        <v>164</v>
      </c>
      <c r="AQ145" t="s">
        <v>55</v>
      </c>
    </row>
    <row r="146" spans="1:43" x14ac:dyDescent="0.3">
      <c r="A146" t="s">
        <v>43</v>
      </c>
      <c r="B146">
        <v>2020</v>
      </c>
      <c r="C146">
        <v>299</v>
      </c>
      <c r="D146">
        <v>5511</v>
      </c>
      <c r="E146">
        <v>10</v>
      </c>
      <c r="F146">
        <v>202305</v>
      </c>
      <c r="G146">
        <v>1600114</v>
      </c>
      <c r="H146" t="s">
        <v>160</v>
      </c>
      <c r="I146" t="s">
        <v>45</v>
      </c>
      <c r="J146">
        <v>7</v>
      </c>
      <c r="K146">
        <f t="shared" ca="1" si="23"/>
        <v>23</v>
      </c>
      <c r="L146">
        <f t="shared" ca="1" si="24"/>
        <v>31</v>
      </c>
      <c r="M146">
        <f t="shared" ca="1" si="25"/>
        <v>455</v>
      </c>
      <c r="N146">
        <f t="shared" ca="1" si="25"/>
        <v>220</v>
      </c>
      <c r="O146">
        <f t="shared" ca="1" si="22"/>
        <v>729</v>
      </c>
      <c r="P146">
        <f t="shared" ca="1" si="26"/>
        <v>411</v>
      </c>
      <c r="Q146">
        <f t="shared" ca="1" si="27"/>
        <v>594</v>
      </c>
      <c r="R146">
        <f t="shared" ca="1" si="28"/>
        <v>160</v>
      </c>
      <c r="S146">
        <f t="shared" ca="1" si="29"/>
        <v>10405</v>
      </c>
      <c r="T146">
        <f t="shared" ca="1" si="30"/>
        <v>920</v>
      </c>
      <c r="U146">
        <f t="shared" ca="1" si="31"/>
        <v>116</v>
      </c>
      <c r="V146">
        <v>0</v>
      </c>
      <c r="W146">
        <v>0</v>
      </c>
      <c r="X146">
        <f t="shared" ca="1" si="32"/>
        <v>-106</v>
      </c>
      <c r="Y146">
        <v>0</v>
      </c>
      <c r="Z146">
        <v>0</v>
      </c>
      <c r="AA146">
        <v>0</v>
      </c>
      <c r="AB146" t="s">
        <v>199</v>
      </c>
      <c r="AC146" t="s">
        <v>181</v>
      </c>
      <c r="AD146">
        <v>1</v>
      </c>
      <c r="AE146">
        <v>52</v>
      </c>
      <c r="AF146">
        <v>265</v>
      </c>
      <c r="AG146" t="s">
        <v>47</v>
      </c>
      <c r="AH146" t="s">
        <v>48</v>
      </c>
      <c r="AI146" t="s">
        <v>49</v>
      </c>
      <c r="AJ146" t="s">
        <v>50</v>
      </c>
      <c r="AK146" t="s">
        <v>51</v>
      </c>
      <c r="AL146">
        <v>3.6726999999999999</v>
      </c>
      <c r="AM146" t="s">
        <v>52</v>
      </c>
      <c r="AN146" t="s">
        <v>162</v>
      </c>
      <c r="AO146" t="s">
        <v>163</v>
      </c>
      <c r="AP146" t="s">
        <v>164</v>
      </c>
      <c r="AQ146" t="s">
        <v>55</v>
      </c>
    </row>
    <row r="147" spans="1:43" x14ac:dyDescent="0.3">
      <c r="A147" t="s">
        <v>43</v>
      </c>
      <c r="B147">
        <v>2020</v>
      </c>
      <c r="C147">
        <v>299</v>
      </c>
      <c r="D147">
        <v>5511</v>
      </c>
      <c r="E147">
        <v>10</v>
      </c>
      <c r="F147">
        <v>202305</v>
      </c>
      <c r="G147">
        <v>1600117</v>
      </c>
      <c r="H147" t="s">
        <v>160</v>
      </c>
      <c r="I147" t="s">
        <v>45</v>
      </c>
      <c r="J147">
        <v>7</v>
      </c>
      <c r="K147">
        <f t="shared" ca="1" si="23"/>
        <v>15</v>
      </c>
      <c r="L147">
        <f t="shared" ca="1" si="24"/>
        <v>27</v>
      </c>
      <c r="M147">
        <f t="shared" ca="1" si="25"/>
        <v>74</v>
      </c>
      <c r="N147">
        <f t="shared" ca="1" si="25"/>
        <v>318</v>
      </c>
      <c r="O147">
        <f t="shared" ca="1" si="22"/>
        <v>747</v>
      </c>
      <c r="P147">
        <f t="shared" ca="1" si="26"/>
        <v>1271</v>
      </c>
      <c r="Q147">
        <f t="shared" ca="1" si="27"/>
        <v>1049</v>
      </c>
      <c r="R147">
        <f t="shared" ca="1" si="28"/>
        <v>363</v>
      </c>
      <c r="S147">
        <f t="shared" ca="1" si="29"/>
        <v>2956</v>
      </c>
      <c r="T147">
        <f t="shared" ca="1" si="30"/>
        <v>7289</v>
      </c>
      <c r="U147">
        <f t="shared" ca="1" si="31"/>
        <v>1017</v>
      </c>
      <c r="V147">
        <v>0</v>
      </c>
      <c r="W147">
        <v>0</v>
      </c>
      <c r="X147">
        <f t="shared" ca="1" si="32"/>
        <v>80</v>
      </c>
      <c r="Y147">
        <v>0</v>
      </c>
      <c r="Z147">
        <v>0</v>
      </c>
      <c r="AA147">
        <v>42</v>
      </c>
      <c r="AB147" t="s">
        <v>199</v>
      </c>
      <c r="AC147" t="s">
        <v>184</v>
      </c>
      <c r="AD147">
        <v>1</v>
      </c>
      <c r="AE147">
        <v>52</v>
      </c>
      <c r="AF147">
        <v>265</v>
      </c>
      <c r="AG147" t="s">
        <v>47</v>
      </c>
      <c r="AH147" t="s">
        <v>48</v>
      </c>
      <c r="AI147" t="s">
        <v>49</v>
      </c>
      <c r="AJ147" t="s">
        <v>50</v>
      </c>
      <c r="AK147" t="s">
        <v>51</v>
      </c>
      <c r="AL147">
        <v>3.6726999999999999</v>
      </c>
      <c r="AM147" t="s">
        <v>52</v>
      </c>
      <c r="AN147" t="s">
        <v>162</v>
      </c>
      <c r="AO147" t="s">
        <v>163</v>
      </c>
      <c r="AP147" t="s">
        <v>164</v>
      </c>
      <c r="AQ147" t="s">
        <v>55</v>
      </c>
    </row>
    <row r="148" spans="1:43" x14ac:dyDescent="0.3">
      <c r="A148" t="s">
        <v>43</v>
      </c>
      <c r="B148">
        <v>2020</v>
      </c>
      <c r="C148">
        <v>299</v>
      </c>
      <c r="D148">
        <v>5511</v>
      </c>
      <c r="E148">
        <v>10</v>
      </c>
      <c r="F148">
        <v>202305</v>
      </c>
      <c r="G148">
        <v>1600122</v>
      </c>
      <c r="H148" t="s">
        <v>160</v>
      </c>
      <c r="I148" t="s">
        <v>45</v>
      </c>
      <c r="J148">
        <v>7</v>
      </c>
      <c r="K148">
        <f t="shared" ca="1" si="23"/>
        <v>36</v>
      </c>
      <c r="L148">
        <f t="shared" ca="1" si="24"/>
        <v>93</v>
      </c>
      <c r="M148">
        <f t="shared" ca="1" si="25"/>
        <v>-87</v>
      </c>
      <c r="N148">
        <f t="shared" ca="1" si="25"/>
        <v>473</v>
      </c>
      <c r="O148">
        <f t="shared" ca="1" si="22"/>
        <v>942</v>
      </c>
      <c r="P148">
        <f t="shared" ca="1" si="26"/>
        <v>919</v>
      </c>
      <c r="Q148">
        <f t="shared" ca="1" si="27"/>
        <v>369</v>
      </c>
      <c r="R148">
        <f t="shared" ca="1" si="28"/>
        <v>310</v>
      </c>
      <c r="S148">
        <f t="shared" ca="1" si="29"/>
        <v>16</v>
      </c>
      <c r="T148">
        <f t="shared" ca="1" si="30"/>
        <v>3733</v>
      </c>
      <c r="U148">
        <f t="shared" ca="1" si="31"/>
        <v>462</v>
      </c>
      <c r="V148">
        <v>0</v>
      </c>
      <c r="W148">
        <v>0</v>
      </c>
      <c r="X148">
        <f t="shared" ca="1" si="32"/>
        <v>-433</v>
      </c>
      <c r="Y148">
        <v>0</v>
      </c>
      <c r="Z148">
        <v>3</v>
      </c>
      <c r="AA148">
        <v>100</v>
      </c>
      <c r="AB148" t="s">
        <v>199</v>
      </c>
      <c r="AC148" t="s">
        <v>189</v>
      </c>
      <c r="AD148">
        <v>1</v>
      </c>
      <c r="AE148">
        <v>52</v>
      </c>
      <c r="AF148">
        <v>265</v>
      </c>
      <c r="AG148" t="s">
        <v>47</v>
      </c>
      <c r="AH148" t="s">
        <v>48</v>
      </c>
      <c r="AI148" t="s">
        <v>49</v>
      </c>
      <c r="AJ148" t="s">
        <v>50</v>
      </c>
      <c r="AK148" t="s">
        <v>51</v>
      </c>
      <c r="AL148">
        <v>3.6726999999999999</v>
      </c>
      <c r="AM148" t="s">
        <v>52</v>
      </c>
      <c r="AN148" t="s">
        <v>162</v>
      </c>
      <c r="AO148" t="s">
        <v>163</v>
      </c>
      <c r="AP148" t="s">
        <v>164</v>
      </c>
      <c r="AQ148" t="s">
        <v>55</v>
      </c>
    </row>
    <row r="149" spans="1:43" x14ac:dyDescent="0.3">
      <c r="A149" t="s">
        <v>43</v>
      </c>
      <c r="B149">
        <v>2020</v>
      </c>
      <c r="C149">
        <v>299</v>
      </c>
      <c r="D149">
        <v>5511</v>
      </c>
      <c r="E149">
        <v>10</v>
      </c>
      <c r="F149">
        <v>202305</v>
      </c>
      <c r="G149">
        <v>1600126</v>
      </c>
      <c r="H149" t="s">
        <v>160</v>
      </c>
      <c r="I149" t="s">
        <v>45</v>
      </c>
      <c r="J149">
        <v>7</v>
      </c>
      <c r="K149">
        <f t="shared" ca="1" si="23"/>
        <v>97</v>
      </c>
      <c r="L149">
        <f t="shared" ca="1" si="24"/>
        <v>-6</v>
      </c>
      <c r="M149">
        <f t="shared" ca="1" si="25"/>
        <v>226</v>
      </c>
      <c r="N149">
        <f t="shared" ca="1" si="25"/>
        <v>-20</v>
      </c>
      <c r="O149">
        <f t="shared" ca="1" si="22"/>
        <v>341</v>
      </c>
      <c r="P149">
        <f t="shared" ca="1" si="26"/>
        <v>1444</v>
      </c>
      <c r="Q149">
        <f t="shared" ca="1" si="27"/>
        <v>65</v>
      </c>
      <c r="R149">
        <f t="shared" ca="1" si="28"/>
        <v>-60</v>
      </c>
      <c r="S149">
        <f t="shared" ca="1" si="29"/>
        <v>12870</v>
      </c>
      <c r="T149">
        <f t="shared" ca="1" si="30"/>
        <v>5998</v>
      </c>
      <c r="U149">
        <f t="shared" ca="1" si="31"/>
        <v>216</v>
      </c>
      <c r="V149">
        <v>0</v>
      </c>
      <c r="W149">
        <v>0</v>
      </c>
      <c r="X149">
        <f t="shared" ca="1" si="32"/>
        <v>-486</v>
      </c>
      <c r="Y149">
        <v>0</v>
      </c>
      <c r="Z149">
        <v>0</v>
      </c>
      <c r="AA149">
        <v>1</v>
      </c>
      <c r="AB149" t="s">
        <v>199</v>
      </c>
      <c r="AC149" t="s">
        <v>186</v>
      </c>
      <c r="AD149">
        <v>1</v>
      </c>
      <c r="AE149">
        <v>52</v>
      </c>
      <c r="AF149">
        <v>265</v>
      </c>
      <c r="AG149" t="s">
        <v>47</v>
      </c>
      <c r="AH149" t="s">
        <v>48</v>
      </c>
      <c r="AI149" t="s">
        <v>49</v>
      </c>
      <c r="AJ149" t="s">
        <v>50</v>
      </c>
      <c r="AK149" t="s">
        <v>51</v>
      </c>
      <c r="AL149">
        <v>3.6726999999999999</v>
      </c>
      <c r="AM149" t="s">
        <v>52</v>
      </c>
      <c r="AN149" t="s">
        <v>162</v>
      </c>
      <c r="AO149" t="s">
        <v>163</v>
      </c>
      <c r="AP149" t="s">
        <v>164</v>
      </c>
      <c r="AQ149" t="s">
        <v>55</v>
      </c>
    </row>
    <row r="150" spans="1:43" x14ac:dyDescent="0.3">
      <c r="A150" t="s">
        <v>43</v>
      </c>
      <c r="B150">
        <v>2020</v>
      </c>
      <c r="C150">
        <v>299</v>
      </c>
      <c r="D150">
        <v>5511</v>
      </c>
      <c r="E150">
        <v>10</v>
      </c>
      <c r="F150">
        <v>202305</v>
      </c>
      <c r="G150">
        <v>1600302</v>
      </c>
      <c r="H150" t="s">
        <v>160</v>
      </c>
      <c r="I150" t="s">
        <v>45</v>
      </c>
      <c r="J150">
        <v>7</v>
      </c>
      <c r="K150">
        <f t="shared" ca="1" si="23"/>
        <v>70</v>
      </c>
      <c r="L150">
        <f t="shared" ca="1" si="24"/>
        <v>-67</v>
      </c>
      <c r="M150">
        <f t="shared" ca="1" si="25"/>
        <v>-11</v>
      </c>
      <c r="N150">
        <f t="shared" ca="1" si="25"/>
        <v>108</v>
      </c>
      <c r="O150">
        <f t="shared" ca="1" si="22"/>
        <v>397</v>
      </c>
      <c r="P150">
        <f t="shared" ca="1" si="26"/>
        <v>450</v>
      </c>
      <c r="Q150">
        <f t="shared" ca="1" si="27"/>
        <v>909</v>
      </c>
      <c r="R150">
        <f t="shared" ca="1" si="28"/>
        <v>-58</v>
      </c>
      <c r="S150">
        <f t="shared" ca="1" si="29"/>
        <v>3739</v>
      </c>
      <c r="T150">
        <f t="shared" ca="1" si="30"/>
        <v>4652</v>
      </c>
      <c r="U150">
        <f t="shared" ca="1" si="31"/>
        <v>181</v>
      </c>
      <c r="V150">
        <v>0</v>
      </c>
      <c r="W150">
        <v>0</v>
      </c>
      <c r="X150">
        <f t="shared" ca="1" si="32"/>
        <v>-99</v>
      </c>
      <c r="Y150">
        <v>0</v>
      </c>
      <c r="Z150">
        <v>0</v>
      </c>
      <c r="AA150">
        <v>0</v>
      </c>
      <c r="AB150" t="s">
        <v>199</v>
      </c>
      <c r="AC150" t="s">
        <v>82</v>
      </c>
      <c r="AD150">
        <v>1</v>
      </c>
      <c r="AE150">
        <v>52</v>
      </c>
      <c r="AF150">
        <v>265</v>
      </c>
      <c r="AG150" t="s">
        <v>47</v>
      </c>
      <c r="AH150" t="s">
        <v>48</v>
      </c>
      <c r="AI150" t="s">
        <v>49</v>
      </c>
      <c r="AJ150" t="s">
        <v>50</v>
      </c>
      <c r="AK150" t="s">
        <v>51</v>
      </c>
      <c r="AL150">
        <v>3.6726999999999999</v>
      </c>
      <c r="AM150" t="s">
        <v>52</v>
      </c>
      <c r="AN150" t="s">
        <v>162</v>
      </c>
      <c r="AO150" t="s">
        <v>163</v>
      </c>
      <c r="AP150" t="s">
        <v>164</v>
      </c>
      <c r="AQ150" t="s">
        <v>55</v>
      </c>
    </row>
    <row r="151" spans="1:43" x14ac:dyDescent="0.3">
      <c r="A151" t="s">
        <v>43</v>
      </c>
      <c r="B151">
        <v>2020</v>
      </c>
      <c r="C151">
        <v>299</v>
      </c>
      <c r="D151">
        <v>5511</v>
      </c>
      <c r="E151">
        <v>10</v>
      </c>
      <c r="F151">
        <v>202305</v>
      </c>
      <c r="G151">
        <v>1600351</v>
      </c>
      <c r="H151" t="s">
        <v>160</v>
      </c>
      <c r="I151" t="s">
        <v>45</v>
      </c>
      <c r="J151">
        <v>7</v>
      </c>
      <c r="K151">
        <f t="shared" ca="1" si="23"/>
        <v>66</v>
      </c>
      <c r="L151">
        <f t="shared" ca="1" si="24"/>
        <v>-78</v>
      </c>
      <c r="M151">
        <f t="shared" ca="1" si="25"/>
        <v>-86</v>
      </c>
      <c r="N151">
        <f t="shared" ca="1" si="25"/>
        <v>32</v>
      </c>
      <c r="O151">
        <f t="shared" ca="1" si="22"/>
        <v>831</v>
      </c>
      <c r="P151">
        <f t="shared" ca="1" si="26"/>
        <v>-223</v>
      </c>
      <c r="Q151">
        <f t="shared" ca="1" si="27"/>
        <v>642</v>
      </c>
      <c r="R151">
        <f t="shared" ca="1" si="28"/>
        <v>186</v>
      </c>
      <c r="S151">
        <f t="shared" ca="1" si="29"/>
        <v>6604</v>
      </c>
      <c r="T151">
        <f t="shared" ca="1" si="30"/>
        <v>7795</v>
      </c>
      <c r="U151">
        <f t="shared" ca="1" si="31"/>
        <v>1290</v>
      </c>
      <c r="V151">
        <v>0</v>
      </c>
      <c r="W151">
        <v>0</v>
      </c>
      <c r="X151">
        <f t="shared" ca="1" si="32"/>
        <v>78</v>
      </c>
      <c r="Y151">
        <v>0</v>
      </c>
      <c r="Z151">
        <v>0</v>
      </c>
      <c r="AA151">
        <v>0</v>
      </c>
      <c r="AB151" t="s">
        <v>199</v>
      </c>
      <c r="AC151" t="s">
        <v>121</v>
      </c>
      <c r="AD151">
        <v>1</v>
      </c>
      <c r="AE151">
        <v>52</v>
      </c>
      <c r="AF151">
        <v>265</v>
      </c>
      <c r="AG151" t="s">
        <v>47</v>
      </c>
      <c r="AH151" t="s">
        <v>48</v>
      </c>
      <c r="AI151" t="s">
        <v>49</v>
      </c>
      <c r="AJ151" t="s">
        <v>50</v>
      </c>
      <c r="AK151" t="s">
        <v>51</v>
      </c>
      <c r="AL151">
        <v>3.6726999999999999</v>
      </c>
      <c r="AM151" t="s">
        <v>52</v>
      </c>
      <c r="AN151" t="s">
        <v>162</v>
      </c>
      <c r="AO151" t="s">
        <v>163</v>
      </c>
      <c r="AP151" t="s">
        <v>164</v>
      </c>
      <c r="AQ151" t="s">
        <v>55</v>
      </c>
    </row>
    <row r="152" spans="1:43" x14ac:dyDescent="0.3">
      <c r="A152" t="s">
        <v>43</v>
      </c>
      <c r="B152">
        <v>2020</v>
      </c>
      <c r="C152">
        <v>299</v>
      </c>
      <c r="D152">
        <v>5511</v>
      </c>
      <c r="E152">
        <v>10</v>
      </c>
      <c r="F152">
        <v>202305</v>
      </c>
      <c r="G152">
        <v>1601209</v>
      </c>
      <c r="H152" t="s">
        <v>160</v>
      </c>
      <c r="I152" t="s">
        <v>45</v>
      </c>
      <c r="J152">
        <v>7</v>
      </c>
      <c r="K152">
        <f t="shared" ca="1" si="23"/>
        <v>35</v>
      </c>
      <c r="L152">
        <f t="shared" ca="1" si="24"/>
        <v>58</v>
      </c>
      <c r="M152">
        <f t="shared" ca="1" si="25"/>
        <v>-50</v>
      </c>
      <c r="N152">
        <f t="shared" ca="1" si="25"/>
        <v>264</v>
      </c>
      <c r="O152">
        <f t="shared" ca="1" si="22"/>
        <v>368</v>
      </c>
      <c r="P152">
        <f t="shared" ca="1" si="26"/>
        <v>-482</v>
      </c>
      <c r="Q152">
        <f t="shared" ca="1" si="27"/>
        <v>626</v>
      </c>
      <c r="R152">
        <f t="shared" ca="1" si="28"/>
        <v>170</v>
      </c>
      <c r="S152">
        <f t="shared" ca="1" si="29"/>
        <v>12826</v>
      </c>
      <c r="T152">
        <f t="shared" ca="1" si="30"/>
        <v>812</v>
      </c>
      <c r="U152">
        <f t="shared" ca="1" si="31"/>
        <v>494</v>
      </c>
      <c r="V152">
        <v>0</v>
      </c>
      <c r="W152">
        <v>0</v>
      </c>
      <c r="X152">
        <f t="shared" ca="1" si="32"/>
        <v>-382</v>
      </c>
      <c r="Y152">
        <v>0</v>
      </c>
      <c r="Z152">
        <v>0</v>
      </c>
      <c r="AA152">
        <v>59</v>
      </c>
      <c r="AB152" t="s">
        <v>199</v>
      </c>
      <c r="AC152" t="s">
        <v>175</v>
      </c>
      <c r="AD152">
        <v>1</v>
      </c>
      <c r="AE152">
        <v>52</v>
      </c>
      <c r="AF152">
        <v>265</v>
      </c>
      <c r="AG152" t="s">
        <v>47</v>
      </c>
      <c r="AH152" t="s">
        <v>48</v>
      </c>
      <c r="AI152" t="s">
        <v>49</v>
      </c>
      <c r="AJ152" t="s">
        <v>50</v>
      </c>
      <c r="AK152" t="s">
        <v>51</v>
      </c>
      <c r="AL152">
        <v>3.6726999999999999</v>
      </c>
      <c r="AM152" t="s">
        <v>52</v>
      </c>
      <c r="AN152" t="s">
        <v>162</v>
      </c>
      <c r="AO152" t="s">
        <v>163</v>
      </c>
      <c r="AP152" t="s">
        <v>164</v>
      </c>
      <c r="AQ152" t="s">
        <v>55</v>
      </c>
    </row>
    <row r="153" spans="1:43" x14ac:dyDescent="0.3">
      <c r="A153" t="s">
        <v>43</v>
      </c>
      <c r="B153">
        <v>2020</v>
      </c>
      <c r="C153">
        <v>299</v>
      </c>
      <c r="D153">
        <v>5511</v>
      </c>
      <c r="E153">
        <v>10</v>
      </c>
      <c r="F153">
        <v>202305</v>
      </c>
      <c r="G153">
        <v>1800116</v>
      </c>
      <c r="H153" t="s">
        <v>160</v>
      </c>
      <c r="I153" t="s">
        <v>45</v>
      </c>
      <c r="J153">
        <v>7</v>
      </c>
      <c r="K153">
        <f t="shared" ca="1" si="23"/>
        <v>69</v>
      </c>
      <c r="L153">
        <f t="shared" ca="1" si="24"/>
        <v>-20</v>
      </c>
      <c r="M153">
        <f t="shared" ca="1" si="25"/>
        <v>61</v>
      </c>
      <c r="N153">
        <f t="shared" ca="1" si="25"/>
        <v>10</v>
      </c>
      <c r="O153">
        <f t="shared" ca="1" si="22"/>
        <v>0</v>
      </c>
      <c r="P153">
        <f t="shared" ca="1" si="26"/>
        <v>817</v>
      </c>
      <c r="Q153">
        <f t="shared" ca="1" si="27"/>
        <v>417</v>
      </c>
      <c r="R153">
        <f t="shared" ca="1" si="28"/>
        <v>172</v>
      </c>
      <c r="S153">
        <f t="shared" ca="1" si="29"/>
        <v>1887</v>
      </c>
      <c r="T153">
        <f t="shared" ca="1" si="30"/>
        <v>3826</v>
      </c>
      <c r="U153">
        <f t="shared" ca="1" si="31"/>
        <v>437</v>
      </c>
      <c r="V153">
        <v>0</v>
      </c>
      <c r="W153">
        <v>0</v>
      </c>
      <c r="X153">
        <f t="shared" ca="1" si="32"/>
        <v>-78</v>
      </c>
      <c r="Y153">
        <v>0</v>
      </c>
      <c r="Z153">
        <v>0</v>
      </c>
      <c r="AA153">
        <v>100</v>
      </c>
      <c r="AB153" t="s">
        <v>201</v>
      </c>
      <c r="AC153" t="s">
        <v>183</v>
      </c>
      <c r="AD153">
        <v>1</v>
      </c>
      <c r="AE153">
        <v>52</v>
      </c>
      <c r="AF153">
        <v>265</v>
      </c>
      <c r="AG153" t="s">
        <v>47</v>
      </c>
      <c r="AH153" t="s">
        <v>48</v>
      </c>
      <c r="AI153" t="s">
        <v>49</v>
      </c>
      <c r="AJ153" t="s">
        <v>50</v>
      </c>
      <c r="AK153" t="s">
        <v>51</v>
      </c>
      <c r="AL153">
        <v>3.6726999999999999</v>
      </c>
      <c r="AM153" t="s">
        <v>52</v>
      </c>
      <c r="AN153" t="s">
        <v>162</v>
      </c>
      <c r="AO153" t="s">
        <v>163</v>
      </c>
      <c r="AP153" t="s">
        <v>164</v>
      </c>
      <c r="AQ153" t="s">
        <v>55</v>
      </c>
    </row>
    <row r="154" spans="1:43" x14ac:dyDescent="0.3">
      <c r="A154" t="s">
        <v>43</v>
      </c>
      <c r="B154">
        <v>2020</v>
      </c>
      <c r="C154">
        <v>299</v>
      </c>
      <c r="D154">
        <v>5511</v>
      </c>
      <c r="E154">
        <v>10</v>
      </c>
      <c r="F154">
        <v>202305</v>
      </c>
      <c r="G154">
        <v>1815115</v>
      </c>
      <c r="H154" t="s">
        <v>160</v>
      </c>
      <c r="I154" t="s">
        <v>45</v>
      </c>
      <c r="J154">
        <v>7</v>
      </c>
      <c r="K154">
        <f t="shared" ca="1" si="23"/>
        <v>64</v>
      </c>
      <c r="L154">
        <f t="shared" ca="1" si="24"/>
        <v>-6</v>
      </c>
      <c r="M154">
        <f t="shared" ca="1" si="25"/>
        <v>330</v>
      </c>
      <c r="N154">
        <f t="shared" ca="1" si="25"/>
        <v>173</v>
      </c>
      <c r="O154">
        <f t="shared" ca="1" si="22"/>
        <v>340</v>
      </c>
      <c r="P154">
        <f t="shared" ca="1" si="26"/>
        <v>1375</v>
      </c>
      <c r="Q154">
        <f t="shared" ca="1" si="27"/>
        <v>651</v>
      </c>
      <c r="R154">
        <f t="shared" ca="1" si="28"/>
        <v>431</v>
      </c>
      <c r="S154">
        <f t="shared" ca="1" si="29"/>
        <v>8887</v>
      </c>
      <c r="T154">
        <f t="shared" ca="1" si="30"/>
        <v>3708</v>
      </c>
      <c r="U154">
        <f t="shared" ca="1" si="31"/>
        <v>-38</v>
      </c>
      <c r="V154">
        <v>0</v>
      </c>
      <c r="W154">
        <v>0</v>
      </c>
      <c r="X154">
        <f t="shared" ca="1" si="32"/>
        <v>-211</v>
      </c>
      <c r="Y154">
        <v>0</v>
      </c>
      <c r="Z154">
        <v>0</v>
      </c>
      <c r="AA154">
        <v>0</v>
      </c>
      <c r="AB154" t="s">
        <v>201</v>
      </c>
      <c r="AC154" t="s">
        <v>202</v>
      </c>
      <c r="AD154">
        <v>1</v>
      </c>
      <c r="AE154">
        <v>52</v>
      </c>
      <c r="AF154">
        <v>265</v>
      </c>
      <c r="AG154" t="s">
        <v>47</v>
      </c>
      <c r="AH154" t="s">
        <v>48</v>
      </c>
      <c r="AI154" t="s">
        <v>49</v>
      </c>
      <c r="AJ154" t="s">
        <v>50</v>
      </c>
      <c r="AK154" t="s">
        <v>51</v>
      </c>
      <c r="AL154">
        <v>3.6726999999999999</v>
      </c>
      <c r="AM154" t="s">
        <v>52</v>
      </c>
      <c r="AN154" t="s">
        <v>162</v>
      </c>
      <c r="AO154" t="s">
        <v>163</v>
      </c>
      <c r="AP154" t="s">
        <v>164</v>
      </c>
      <c r="AQ154" t="s">
        <v>55</v>
      </c>
    </row>
    <row r="155" spans="1:43" x14ac:dyDescent="0.3">
      <c r="A155" t="s">
        <v>43</v>
      </c>
      <c r="B155">
        <v>2020</v>
      </c>
      <c r="C155">
        <v>299</v>
      </c>
      <c r="D155">
        <v>5511</v>
      </c>
      <c r="E155">
        <v>10</v>
      </c>
      <c r="F155">
        <v>202305</v>
      </c>
      <c r="G155">
        <v>3100302</v>
      </c>
      <c r="H155" t="s">
        <v>160</v>
      </c>
      <c r="I155" t="s">
        <v>45</v>
      </c>
      <c r="J155">
        <v>7</v>
      </c>
      <c r="K155">
        <f t="shared" ca="1" si="23"/>
        <v>11</v>
      </c>
      <c r="L155">
        <f t="shared" ca="1" si="24"/>
        <v>6</v>
      </c>
      <c r="M155">
        <f t="shared" ca="1" si="25"/>
        <v>41</v>
      </c>
      <c r="N155">
        <f t="shared" ca="1" si="25"/>
        <v>304</v>
      </c>
      <c r="O155">
        <f t="shared" ca="1" si="22"/>
        <v>88</v>
      </c>
      <c r="P155">
        <f t="shared" ca="1" si="26"/>
        <v>945</v>
      </c>
      <c r="Q155">
        <f t="shared" ca="1" si="27"/>
        <v>793</v>
      </c>
      <c r="R155">
        <f t="shared" ca="1" si="28"/>
        <v>-36</v>
      </c>
      <c r="S155">
        <f t="shared" ca="1" si="29"/>
        <v>13280</v>
      </c>
      <c r="T155">
        <f t="shared" ca="1" si="30"/>
        <v>2579</v>
      </c>
      <c r="U155">
        <f t="shared" ca="1" si="31"/>
        <v>1262</v>
      </c>
      <c r="V155">
        <v>0</v>
      </c>
      <c r="W155">
        <v>0</v>
      </c>
      <c r="X155">
        <f t="shared" ca="1" si="32"/>
        <v>-415</v>
      </c>
      <c r="Y155">
        <v>0</v>
      </c>
      <c r="Z155">
        <v>0</v>
      </c>
      <c r="AA155">
        <v>100</v>
      </c>
      <c r="AB155" t="s">
        <v>80</v>
      </c>
      <c r="AC155" t="s">
        <v>82</v>
      </c>
      <c r="AD155">
        <v>1</v>
      </c>
      <c r="AE155">
        <v>52</v>
      </c>
      <c r="AF155">
        <v>265</v>
      </c>
      <c r="AG155" t="s">
        <v>47</v>
      </c>
      <c r="AH155" t="s">
        <v>48</v>
      </c>
      <c r="AI155" t="s">
        <v>49</v>
      </c>
      <c r="AJ155" t="s">
        <v>50</v>
      </c>
      <c r="AK155" t="s">
        <v>51</v>
      </c>
      <c r="AL155">
        <v>3.6726999999999999</v>
      </c>
      <c r="AM155" t="s">
        <v>52</v>
      </c>
      <c r="AN155" t="s">
        <v>162</v>
      </c>
      <c r="AO155" t="s">
        <v>163</v>
      </c>
      <c r="AP155" t="s">
        <v>164</v>
      </c>
      <c r="AQ155" t="s">
        <v>55</v>
      </c>
    </row>
    <row r="156" spans="1:43" x14ac:dyDescent="0.3">
      <c r="A156" t="s">
        <v>43</v>
      </c>
      <c r="B156">
        <v>2020</v>
      </c>
      <c r="C156">
        <v>300</v>
      </c>
      <c r="D156">
        <v>5010</v>
      </c>
      <c r="E156">
        <v>50</v>
      </c>
      <c r="F156">
        <v>202305</v>
      </c>
      <c r="G156">
        <v>5000502</v>
      </c>
      <c r="H156" t="s">
        <v>44</v>
      </c>
      <c r="I156" t="s">
        <v>45</v>
      </c>
      <c r="J156">
        <v>7</v>
      </c>
      <c r="K156">
        <f t="shared" ca="1" si="23"/>
        <v>4</v>
      </c>
      <c r="L156">
        <f t="shared" ca="1" si="24"/>
        <v>-45</v>
      </c>
      <c r="M156">
        <f t="shared" ca="1" si="25"/>
        <v>217</v>
      </c>
      <c r="N156">
        <f t="shared" ca="1" si="25"/>
        <v>80</v>
      </c>
      <c r="O156">
        <f t="shared" ca="1" si="22"/>
        <v>231</v>
      </c>
      <c r="P156">
        <f t="shared" ca="1" si="26"/>
        <v>660</v>
      </c>
      <c r="Q156">
        <f t="shared" ca="1" si="27"/>
        <v>1092</v>
      </c>
      <c r="R156">
        <f t="shared" ca="1" si="28"/>
        <v>3</v>
      </c>
      <c r="S156">
        <f t="shared" ca="1" si="29"/>
        <v>11552</v>
      </c>
      <c r="T156">
        <f t="shared" ca="1" si="30"/>
        <v>8282</v>
      </c>
      <c r="U156">
        <f t="shared" ca="1" si="31"/>
        <v>-28</v>
      </c>
      <c r="V156">
        <v>0</v>
      </c>
      <c r="W156">
        <v>0</v>
      </c>
      <c r="X156">
        <f t="shared" ca="1" si="32"/>
        <v>97</v>
      </c>
      <c r="Y156">
        <v>0</v>
      </c>
      <c r="Z156">
        <v>0</v>
      </c>
      <c r="AA156">
        <v>0</v>
      </c>
      <c r="AB156" t="s">
        <v>46</v>
      </c>
      <c r="AD156">
        <v>1</v>
      </c>
      <c r="AE156">
        <v>52</v>
      </c>
      <c r="AF156">
        <v>265</v>
      </c>
      <c r="AG156" t="s">
        <v>47</v>
      </c>
      <c r="AH156" t="s">
        <v>48</v>
      </c>
      <c r="AI156" t="s">
        <v>49</v>
      </c>
      <c r="AJ156" t="s">
        <v>50</v>
      </c>
      <c r="AK156" t="s">
        <v>51</v>
      </c>
      <c r="AL156">
        <v>3.6726999999999999</v>
      </c>
      <c r="AM156" t="s">
        <v>52</v>
      </c>
      <c r="AN156" t="s">
        <v>53</v>
      </c>
      <c r="AO156" t="s">
        <v>54</v>
      </c>
      <c r="AP156" t="s">
        <v>48</v>
      </c>
      <c r="AQ156" t="s">
        <v>55</v>
      </c>
    </row>
    <row r="157" spans="1:43" x14ac:dyDescent="0.3">
      <c r="A157" t="s">
        <v>43</v>
      </c>
      <c r="B157">
        <v>2020</v>
      </c>
      <c r="C157">
        <v>300</v>
      </c>
      <c r="D157">
        <v>5211</v>
      </c>
      <c r="E157">
        <v>1</v>
      </c>
      <c r="F157">
        <v>202305</v>
      </c>
      <c r="G157">
        <v>1</v>
      </c>
      <c r="H157" t="s">
        <v>56</v>
      </c>
      <c r="I157" t="s">
        <v>45</v>
      </c>
      <c r="J157">
        <v>2</v>
      </c>
      <c r="K157">
        <f t="shared" ca="1" si="23"/>
        <v>29</v>
      </c>
      <c r="L157">
        <f t="shared" ca="1" si="24"/>
        <v>-89</v>
      </c>
      <c r="M157">
        <f t="shared" ca="1" si="25"/>
        <v>-52</v>
      </c>
      <c r="N157">
        <f t="shared" ca="1" si="25"/>
        <v>-24</v>
      </c>
      <c r="O157">
        <f t="shared" ca="1" si="22"/>
        <v>737</v>
      </c>
      <c r="P157">
        <f t="shared" ca="1" si="26"/>
        <v>-388</v>
      </c>
      <c r="Q157">
        <f t="shared" ca="1" si="27"/>
        <v>81</v>
      </c>
      <c r="R157">
        <f t="shared" ca="1" si="28"/>
        <v>127</v>
      </c>
      <c r="S157">
        <f t="shared" ca="1" si="29"/>
        <v>14825</v>
      </c>
      <c r="T157">
        <f t="shared" ca="1" si="30"/>
        <v>6023</v>
      </c>
      <c r="U157">
        <f t="shared" ca="1" si="31"/>
        <v>-46</v>
      </c>
      <c r="V157">
        <v>0</v>
      </c>
      <c r="W157">
        <v>0</v>
      </c>
      <c r="X157">
        <f t="shared" ca="1" si="32"/>
        <v>-318</v>
      </c>
      <c r="Y157">
        <v>0</v>
      </c>
      <c r="Z157">
        <v>0</v>
      </c>
      <c r="AA157">
        <v>46</v>
      </c>
      <c r="AB157" t="s">
        <v>57</v>
      </c>
      <c r="AD157">
        <v>1</v>
      </c>
      <c r="AE157">
        <v>52</v>
      </c>
      <c r="AF157">
        <v>265</v>
      </c>
      <c r="AG157" t="s">
        <v>47</v>
      </c>
      <c r="AH157" t="s">
        <v>48</v>
      </c>
      <c r="AI157" t="s">
        <v>49</v>
      </c>
      <c r="AJ157" t="s">
        <v>50</v>
      </c>
      <c r="AK157" t="s">
        <v>51</v>
      </c>
      <c r="AL157">
        <v>3.6726999999999999</v>
      </c>
      <c r="AM157" t="s">
        <v>52</v>
      </c>
      <c r="AN157" t="s">
        <v>93</v>
      </c>
      <c r="AO157" t="s">
        <v>59</v>
      </c>
      <c r="AP157" t="s">
        <v>94</v>
      </c>
      <c r="AQ157" t="s">
        <v>55</v>
      </c>
    </row>
    <row r="158" spans="1:43" x14ac:dyDescent="0.3">
      <c r="A158" t="s">
        <v>43</v>
      </c>
      <c r="B158">
        <v>2020</v>
      </c>
      <c r="C158">
        <v>300</v>
      </c>
      <c r="D158">
        <v>5211</v>
      </c>
      <c r="E158">
        <v>1</v>
      </c>
      <c r="F158">
        <v>202305</v>
      </c>
      <c r="G158">
        <v>2</v>
      </c>
      <c r="H158" t="s">
        <v>56</v>
      </c>
      <c r="I158" t="s">
        <v>45</v>
      </c>
      <c r="J158">
        <v>2</v>
      </c>
      <c r="K158">
        <f t="shared" ca="1" si="23"/>
        <v>1</v>
      </c>
      <c r="L158">
        <f t="shared" ca="1" si="24"/>
        <v>68</v>
      </c>
      <c r="M158">
        <f t="shared" ca="1" si="25"/>
        <v>477</v>
      </c>
      <c r="N158">
        <f t="shared" ca="1" si="25"/>
        <v>-13</v>
      </c>
      <c r="O158">
        <f t="shared" ca="1" si="22"/>
        <v>230</v>
      </c>
      <c r="P158">
        <f t="shared" ca="1" si="26"/>
        <v>1498</v>
      </c>
      <c r="Q158">
        <f t="shared" ca="1" si="27"/>
        <v>1022</v>
      </c>
      <c r="R158">
        <f t="shared" ca="1" si="28"/>
        <v>30</v>
      </c>
      <c r="S158">
        <f t="shared" ca="1" si="29"/>
        <v>4512</v>
      </c>
      <c r="T158">
        <f t="shared" ca="1" si="30"/>
        <v>665</v>
      </c>
      <c r="U158">
        <f t="shared" ca="1" si="31"/>
        <v>-98</v>
      </c>
      <c r="V158">
        <v>0</v>
      </c>
      <c r="W158">
        <v>0</v>
      </c>
      <c r="X158">
        <f t="shared" ca="1" si="32"/>
        <v>-172</v>
      </c>
      <c r="Y158">
        <v>0</v>
      </c>
      <c r="Z158">
        <v>0</v>
      </c>
      <c r="AA158">
        <v>69</v>
      </c>
      <c r="AB158" t="s">
        <v>61</v>
      </c>
      <c r="AD158">
        <v>1</v>
      </c>
      <c r="AE158">
        <v>52</v>
      </c>
      <c r="AF158">
        <v>265</v>
      </c>
      <c r="AG158" t="s">
        <v>47</v>
      </c>
      <c r="AH158" t="s">
        <v>48</v>
      </c>
      <c r="AI158" t="s">
        <v>49</v>
      </c>
      <c r="AJ158" t="s">
        <v>50</v>
      </c>
      <c r="AK158" t="s">
        <v>51</v>
      </c>
      <c r="AL158">
        <v>3.6726999999999999</v>
      </c>
      <c r="AM158" t="s">
        <v>52</v>
      </c>
      <c r="AN158" t="s">
        <v>93</v>
      </c>
      <c r="AO158" t="s">
        <v>59</v>
      </c>
      <c r="AP158" t="s">
        <v>94</v>
      </c>
      <c r="AQ158" t="s">
        <v>55</v>
      </c>
    </row>
    <row r="159" spans="1:43" x14ac:dyDescent="0.3">
      <c r="A159" t="s">
        <v>43</v>
      </c>
      <c r="B159">
        <v>2020</v>
      </c>
      <c r="C159">
        <v>300</v>
      </c>
      <c r="D159">
        <v>5211</v>
      </c>
      <c r="E159">
        <v>1</v>
      </c>
      <c r="F159">
        <v>202305</v>
      </c>
      <c r="G159">
        <v>3</v>
      </c>
      <c r="H159" t="s">
        <v>56</v>
      </c>
      <c r="I159" t="s">
        <v>45</v>
      </c>
      <c r="J159">
        <v>2</v>
      </c>
      <c r="K159">
        <f t="shared" ca="1" si="23"/>
        <v>6</v>
      </c>
      <c r="L159">
        <f t="shared" ca="1" si="24"/>
        <v>-20</v>
      </c>
      <c r="M159">
        <f t="shared" ca="1" si="25"/>
        <v>320</v>
      </c>
      <c r="N159">
        <f t="shared" ca="1" si="25"/>
        <v>150</v>
      </c>
      <c r="O159">
        <f t="shared" ca="1" si="22"/>
        <v>294</v>
      </c>
      <c r="P159">
        <f t="shared" ca="1" si="26"/>
        <v>450</v>
      </c>
      <c r="Q159">
        <f t="shared" ca="1" si="27"/>
        <v>211</v>
      </c>
      <c r="R159">
        <f t="shared" ca="1" si="28"/>
        <v>68</v>
      </c>
      <c r="S159">
        <f t="shared" ca="1" si="29"/>
        <v>11809</v>
      </c>
      <c r="T159">
        <f t="shared" ca="1" si="30"/>
        <v>25</v>
      </c>
      <c r="U159">
        <f t="shared" ca="1" si="31"/>
        <v>949</v>
      </c>
      <c r="V159">
        <v>0</v>
      </c>
      <c r="W159">
        <v>0</v>
      </c>
      <c r="X159">
        <f t="shared" ca="1" si="32"/>
        <v>-367</v>
      </c>
      <c r="Y159">
        <v>0</v>
      </c>
      <c r="Z159">
        <v>0</v>
      </c>
      <c r="AA159">
        <v>26</v>
      </c>
      <c r="AB159" t="s">
        <v>62</v>
      </c>
      <c r="AD159">
        <v>1</v>
      </c>
      <c r="AE159">
        <v>52</v>
      </c>
      <c r="AF159">
        <v>265</v>
      </c>
      <c r="AG159" t="s">
        <v>47</v>
      </c>
      <c r="AH159" t="s">
        <v>48</v>
      </c>
      <c r="AI159" t="s">
        <v>49</v>
      </c>
      <c r="AJ159" t="s">
        <v>50</v>
      </c>
      <c r="AK159" t="s">
        <v>51</v>
      </c>
      <c r="AL159">
        <v>3.6726999999999999</v>
      </c>
      <c r="AM159" t="s">
        <v>52</v>
      </c>
      <c r="AN159" t="s">
        <v>93</v>
      </c>
      <c r="AO159" t="s">
        <v>59</v>
      </c>
      <c r="AP159" t="s">
        <v>94</v>
      </c>
      <c r="AQ159" t="s">
        <v>55</v>
      </c>
    </row>
    <row r="160" spans="1:43" x14ac:dyDescent="0.3">
      <c r="A160" t="s">
        <v>43</v>
      </c>
      <c r="B160">
        <v>2020</v>
      </c>
      <c r="C160">
        <v>300</v>
      </c>
      <c r="D160">
        <v>5211</v>
      </c>
      <c r="E160">
        <v>1</v>
      </c>
      <c r="F160">
        <v>202305</v>
      </c>
      <c r="G160">
        <v>4</v>
      </c>
      <c r="H160" t="s">
        <v>56</v>
      </c>
      <c r="I160" t="s">
        <v>45</v>
      </c>
      <c r="J160">
        <v>2</v>
      </c>
      <c r="K160">
        <f t="shared" ca="1" si="23"/>
        <v>44</v>
      </c>
      <c r="L160">
        <f t="shared" ca="1" si="24"/>
        <v>-43</v>
      </c>
      <c r="M160">
        <f t="shared" ca="1" si="25"/>
        <v>245</v>
      </c>
      <c r="N160">
        <f t="shared" ca="1" si="25"/>
        <v>17</v>
      </c>
      <c r="O160">
        <f t="shared" ca="1" si="22"/>
        <v>219</v>
      </c>
      <c r="P160">
        <f t="shared" ca="1" si="26"/>
        <v>396</v>
      </c>
      <c r="Q160">
        <f t="shared" ca="1" si="27"/>
        <v>1167</v>
      </c>
      <c r="R160">
        <f t="shared" ca="1" si="28"/>
        <v>341</v>
      </c>
      <c r="S160">
        <f t="shared" ca="1" si="29"/>
        <v>10527</v>
      </c>
      <c r="T160">
        <f t="shared" ca="1" si="30"/>
        <v>9331</v>
      </c>
      <c r="U160">
        <f t="shared" ca="1" si="31"/>
        <v>944</v>
      </c>
      <c r="V160">
        <v>0</v>
      </c>
      <c r="W160">
        <v>0</v>
      </c>
      <c r="X160">
        <f t="shared" ca="1" si="32"/>
        <v>-494</v>
      </c>
      <c r="Y160">
        <v>0</v>
      </c>
      <c r="Z160">
        <v>0</v>
      </c>
      <c r="AA160">
        <v>40</v>
      </c>
      <c r="AB160" t="s">
        <v>63</v>
      </c>
      <c r="AD160">
        <v>1</v>
      </c>
      <c r="AE160">
        <v>52</v>
      </c>
      <c r="AF160">
        <v>265</v>
      </c>
      <c r="AG160" t="s">
        <v>47</v>
      </c>
      <c r="AH160" t="s">
        <v>48</v>
      </c>
      <c r="AI160" t="s">
        <v>49</v>
      </c>
      <c r="AJ160" t="s">
        <v>50</v>
      </c>
      <c r="AK160" t="s">
        <v>51</v>
      </c>
      <c r="AL160">
        <v>3.6726999999999999</v>
      </c>
      <c r="AM160" t="s">
        <v>52</v>
      </c>
      <c r="AN160" t="s">
        <v>93</v>
      </c>
      <c r="AO160" t="s">
        <v>59</v>
      </c>
      <c r="AP160" t="s">
        <v>94</v>
      </c>
      <c r="AQ160" t="s">
        <v>55</v>
      </c>
    </row>
    <row r="161" spans="1:43" x14ac:dyDescent="0.3">
      <c r="A161" t="s">
        <v>43</v>
      </c>
      <c r="B161">
        <v>2020</v>
      </c>
      <c r="C161">
        <v>300</v>
      </c>
      <c r="D161">
        <v>5211</v>
      </c>
      <c r="E161">
        <v>1</v>
      </c>
      <c r="F161">
        <v>202305</v>
      </c>
      <c r="G161">
        <v>5</v>
      </c>
      <c r="H161" t="s">
        <v>56</v>
      </c>
      <c r="I161" t="s">
        <v>45</v>
      </c>
      <c r="J161">
        <v>2</v>
      </c>
      <c r="K161">
        <f t="shared" ca="1" si="23"/>
        <v>45</v>
      </c>
      <c r="L161">
        <f t="shared" ca="1" si="24"/>
        <v>14</v>
      </c>
      <c r="M161">
        <f t="shared" ca="1" si="25"/>
        <v>465</v>
      </c>
      <c r="N161">
        <f t="shared" ca="1" si="25"/>
        <v>13</v>
      </c>
      <c r="O161">
        <f t="shared" ca="1" si="22"/>
        <v>84</v>
      </c>
      <c r="P161">
        <f t="shared" ca="1" si="26"/>
        <v>1019</v>
      </c>
      <c r="Q161">
        <f t="shared" ca="1" si="27"/>
        <v>1052</v>
      </c>
      <c r="R161">
        <f t="shared" ca="1" si="28"/>
        <v>218</v>
      </c>
      <c r="S161">
        <f t="shared" ca="1" si="29"/>
        <v>14830</v>
      </c>
      <c r="T161">
        <f t="shared" ca="1" si="30"/>
        <v>7912</v>
      </c>
      <c r="U161">
        <f t="shared" ca="1" si="31"/>
        <v>492</v>
      </c>
      <c r="V161">
        <v>0</v>
      </c>
      <c r="W161">
        <v>0</v>
      </c>
      <c r="X161">
        <f t="shared" ca="1" si="32"/>
        <v>-324</v>
      </c>
      <c r="Y161">
        <v>0</v>
      </c>
      <c r="Z161">
        <v>0</v>
      </c>
      <c r="AA161">
        <v>39</v>
      </c>
      <c r="AB161" t="s">
        <v>64</v>
      </c>
      <c r="AD161">
        <v>1</v>
      </c>
      <c r="AE161">
        <v>52</v>
      </c>
      <c r="AF161">
        <v>265</v>
      </c>
      <c r="AG161" t="s">
        <v>47</v>
      </c>
      <c r="AH161" t="s">
        <v>48</v>
      </c>
      <c r="AI161" t="s">
        <v>49</v>
      </c>
      <c r="AJ161" t="s">
        <v>50</v>
      </c>
      <c r="AK161" t="s">
        <v>51</v>
      </c>
      <c r="AL161">
        <v>3.6726999999999999</v>
      </c>
      <c r="AM161" t="s">
        <v>52</v>
      </c>
      <c r="AN161" t="s">
        <v>93</v>
      </c>
      <c r="AO161" t="s">
        <v>59</v>
      </c>
      <c r="AP161" t="s">
        <v>94</v>
      </c>
      <c r="AQ161" t="s">
        <v>55</v>
      </c>
    </row>
    <row r="162" spans="1:43" x14ac:dyDescent="0.3">
      <c r="A162" t="s">
        <v>43</v>
      </c>
      <c r="B162">
        <v>2020</v>
      </c>
      <c r="C162">
        <v>300</v>
      </c>
      <c r="D162">
        <v>5211</v>
      </c>
      <c r="E162">
        <v>1</v>
      </c>
      <c r="F162">
        <v>202305</v>
      </c>
      <c r="G162">
        <v>11</v>
      </c>
      <c r="H162" t="s">
        <v>56</v>
      </c>
      <c r="I162" t="s">
        <v>45</v>
      </c>
      <c r="J162">
        <v>2</v>
      </c>
      <c r="K162">
        <f t="shared" ca="1" si="23"/>
        <v>97</v>
      </c>
      <c r="L162">
        <f t="shared" ca="1" si="24"/>
        <v>100</v>
      </c>
      <c r="M162">
        <f t="shared" ca="1" si="25"/>
        <v>92</v>
      </c>
      <c r="N162">
        <f t="shared" ca="1" si="25"/>
        <v>370</v>
      </c>
      <c r="O162">
        <f t="shared" ca="1" si="22"/>
        <v>372</v>
      </c>
      <c r="P162">
        <f t="shared" ca="1" si="26"/>
        <v>1325</v>
      </c>
      <c r="Q162">
        <f t="shared" ca="1" si="27"/>
        <v>859</v>
      </c>
      <c r="R162">
        <f t="shared" ca="1" si="28"/>
        <v>218</v>
      </c>
      <c r="S162">
        <f t="shared" ca="1" si="29"/>
        <v>447</v>
      </c>
      <c r="T162">
        <f t="shared" ca="1" si="30"/>
        <v>3208</v>
      </c>
      <c r="U162">
        <f t="shared" ca="1" si="31"/>
        <v>1022</v>
      </c>
      <c r="V162">
        <v>0</v>
      </c>
      <c r="W162">
        <v>0</v>
      </c>
      <c r="X162">
        <f t="shared" ca="1" si="32"/>
        <v>-421</v>
      </c>
      <c r="Y162">
        <v>0</v>
      </c>
      <c r="Z162">
        <v>0</v>
      </c>
      <c r="AA162">
        <v>98</v>
      </c>
      <c r="AB162" t="s">
        <v>65</v>
      </c>
      <c r="AD162">
        <v>1</v>
      </c>
      <c r="AE162">
        <v>52</v>
      </c>
      <c r="AF162">
        <v>265</v>
      </c>
      <c r="AG162" t="s">
        <v>47</v>
      </c>
      <c r="AH162" t="s">
        <v>48</v>
      </c>
      <c r="AI162" t="s">
        <v>49</v>
      </c>
      <c r="AJ162" t="s">
        <v>50</v>
      </c>
      <c r="AK162" t="s">
        <v>51</v>
      </c>
      <c r="AL162">
        <v>3.6726999999999999</v>
      </c>
      <c r="AM162" t="s">
        <v>52</v>
      </c>
      <c r="AN162" t="s">
        <v>93</v>
      </c>
      <c r="AO162" t="s">
        <v>59</v>
      </c>
      <c r="AP162" t="s">
        <v>94</v>
      </c>
      <c r="AQ162" t="s">
        <v>55</v>
      </c>
    </row>
    <row r="163" spans="1:43" x14ac:dyDescent="0.3">
      <c r="A163" t="s">
        <v>43</v>
      </c>
      <c r="B163">
        <v>2020</v>
      </c>
      <c r="C163">
        <v>300</v>
      </c>
      <c r="D163">
        <v>5211</v>
      </c>
      <c r="E163">
        <v>3</v>
      </c>
      <c r="F163">
        <v>202305</v>
      </c>
      <c r="G163">
        <v>1</v>
      </c>
      <c r="H163" t="s">
        <v>95</v>
      </c>
      <c r="I163" t="s">
        <v>45</v>
      </c>
      <c r="J163">
        <v>2</v>
      </c>
      <c r="K163">
        <f t="shared" ca="1" si="23"/>
        <v>85</v>
      </c>
      <c r="L163">
        <f t="shared" ca="1" si="24"/>
        <v>-52</v>
      </c>
      <c r="M163">
        <f t="shared" ca="1" si="25"/>
        <v>174</v>
      </c>
      <c r="N163">
        <f t="shared" ca="1" si="25"/>
        <v>369</v>
      </c>
      <c r="O163">
        <f t="shared" ca="1" si="22"/>
        <v>429</v>
      </c>
      <c r="P163">
        <f t="shared" ca="1" si="26"/>
        <v>1013</v>
      </c>
      <c r="Q163">
        <f t="shared" ca="1" si="27"/>
        <v>627</v>
      </c>
      <c r="R163">
        <f t="shared" ca="1" si="28"/>
        <v>39</v>
      </c>
      <c r="S163">
        <f t="shared" ca="1" si="29"/>
        <v>3423</v>
      </c>
      <c r="T163">
        <f t="shared" ca="1" si="30"/>
        <v>255</v>
      </c>
      <c r="U163">
        <f t="shared" ca="1" si="31"/>
        <v>848</v>
      </c>
      <c r="V163">
        <v>0</v>
      </c>
      <c r="W163">
        <v>0</v>
      </c>
      <c r="X163">
        <f t="shared" ca="1" si="32"/>
        <v>-383</v>
      </c>
      <c r="Y163">
        <v>0</v>
      </c>
      <c r="Z163">
        <v>0</v>
      </c>
      <c r="AA163">
        <v>100</v>
      </c>
      <c r="AB163" t="s">
        <v>57</v>
      </c>
      <c r="AD163">
        <v>1</v>
      </c>
      <c r="AE163">
        <v>52</v>
      </c>
      <c r="AF163">
        <v>265</v>
      </c>
      <c r="AG163" t="s">
        <v>47</v>
      </c>
      <c r="AH163" t="s">
        <v>48</v>
      </c>
      <c r="AI163" t="s">
        <v>49</v>
      </c>
      <c r="AJ163" t="s">
        <v>50</v>
      </c>
      <c r="AK163" t="s">
        <v>51</v>
      </c>
      <c r="AL163">
        <v>3.6726999999999999</v>
      </c>
      <c r="AM163" t="s">
        <v>52</v>
      </c>
      <c r="AN163" t="s">
        <v>93</v>
      </c>
      <c r="AO163" t="s">
        <v>96</v>
      </c>
      <c r="AP163" t="s">
        <v>94</v>
      </c>
      <c r="AQ163" t="s">
        <v>55</v>
      </c>
    </row>
    <row r="164" spans="1:43" x14ac:dyDescent="0.3">
      <c r="A164" t="s">
        <v>43</v>
      </c>
      <c r="B164">
        <v>2020</v>
      </c>
      <c r="C164">
        <v>300</v>
      </c>
      <c r="D164">
        <v>5211</v>
      </c>
      <c r="E164">
        <v>3</v>
      </c>
      <c r="F164">
        <v>202305</v>
      </c>
      <c r="G164">
        <v>11</v>
      </c>
      <c r="H164" t="s">
        <v>95</v>
      </c>
      <c r="I164" t="s">
        <v>45</v>
      </c>
      <c r="J164">
        <v>2</v>
      </c>
      <c r="K164">
        <f t="shared" ca="1" si="23"/>
        <v>68</v>
      </c>
      <c r="L164">
        <f t="shared" ca="1" si="24"/>
        <v>-36</v>
      </c>
      <c r="M164">
        <f t="shared" ca="1" si="25"/>
        <v>491</v>
      </c>
      <c r="N164">
        <f t="shared" ca="1" si="25"/>
        <v>317</v>
      </c>
      <c r="O164">
        <f t="shared" ca="1" si="22"/>
        <v>504</v>
      </c>
      <c r="P164">
        <f t="shared" ca="1" si="26"/>
        <v>-416</v>
      </c>
      <c r="Q164">
        <f t="shared" ca="1" si="27"/>
        <v>588</v>
      </c>
      <c r="R164">
        <f t="shared" ca="1" si="28"/>
        <v>118</v>
      </c>
      <c r="S164">
        <f t="shared" ca="1" si="29"/>
        <v>3380</v>
      </c>
      <c r="T164">
        <f t="shared" ca="1" si="30"/>
        <v>279</v>
      </c>
      <c r="U164">
        <f t="shared" ca="1" si="31"/>
        <v>183</v>
      </c>
      <c r="V164">
        <v>0</v>
      </c>
      <c r="W164">
        <v>0</v>
      </c>
      <c r="X164">
        <f t="shared" ca="1" si="32"/>
        <v>-352</v>
      </c>
      <c r="Y164">
        <v>0</v>
      </c>
      <c r="Z164">
        <v>0</v>
      </c>
      <c r="AA164">
        <v>100</v>
      </c>
      <c r="AB164" t="s">
        <v>65</v>
      </c>
      <c r="AD164">
        <v>1</v>
      </c>
      <c r="AE164">
        <v>52</v>
      </c>
      <c r="AF164">
        <v>265</v>
      </c>
      <c r="AG164" t="s">
        <v>47</v>
      </c>
      <c r="AH164" t="s">
        <v>48</v>
      </c>
      <c r="AI164" t="s">
        <v>49</v>
      </c>
      <c r="AJ164" t="s">
        <v>50</v>
      </c>
      <c r="AK164" t="s">
        <v>51</v>
      </c>
      <c r="AL164">
        <v>3.6726999999999999</v>
      </c>
      <c r="AM164" t="s">
        <v>52</v>
      </c>
      <c r="AN164" t="s">
        <v>93</v>
      </c>
      <c r="AO164" t="s">
        <v>96</v>
      </c>
      <c r="AP164" t="s">
        <v>94</v>
      </c>
      <c r="AQ164" t="s">
        <v>55</v>
      </c>
    </row>
    <row r="165" spans="1:43" x14ac:dyDescent="0.3">
      <c r="A165" t="s">
        <v>43</v>
      </c>
      <c r="B165">
        <v>2020</v>
      </c>
      <c r="C165">
        <v>300</v>
      </c>
      <c r="D165">
        <v>5211</v>
      </c>
      <c r="E165">
        <v>7</v>
      </c>
      <c r="F165">
        <v>202305</v>
      </c>
      <c r="G165">
        <v>200018</v>
      </c>
      <c r="H165" t="s">
        <v>97</v>
      </c>
      <c r="I165" t="s">
        <v>45</v>
      </c>
      <c r="J165">
        <v>7</v>
      </c>
      <c r="K165">
        <f t="shared" ca="1" si="23"/>
        <v>77</v>
      </c>
      <c r="L165">
        <f t="shared" ca="1" si="24"/>
        <v>76</v>
      </c>
      <c r="M165">
        <f t="shared" ca="1" si="25"/>
        <v>232</v>
      </c>
      <c r="N165">
        <f t="shared" ca="1" si="25"/>
        <v>435</v>
      </c>
      <c r="O165">
        <f t="shared" ca="1" si="22"/>
        <v>183</v>
      </c>
      <c r="P165">
        <f t="shared" ca="1" si="26"/>
        <v>-383</v>
      </c>
      <c r="Q165">
        <f t="shared" ca="1" si="27"/>
        <v>853</v>
      </c>
      <c r="R165">
        <f t="shared" ca="1" si="28"/>
        <v>326</v>
      </c>
      <c r="S165">
        <f t="shared" ca="1" si="29"/>
        <v>1156</v>
      </c>
      <c r="T165">
        <f t="shared" ca="1" si="30"/>
        <v>3899</v>
      </c>
      <c r="U165">
        <f t="shared" ca="1" si="31"/>
        <v>864</v>
      </c>
      <c r="V165">
        <v>0</v>
      </c>
      <c r="W165">
        <v>0</v>
      </c>
      <c r="X165">
        <f t="shared" ca="1" si="32"/>
        <v>-399</v>
      </c>
      <c r="Y165">
        <v>0</v>
      </c>
      <c r="Z165">
        <v>0</v>
      </c>
      <c r="AA165">
        <v>100</v>
      </c>
      <c r="AB165" t="s">
        <v>61</v>
      </c>
      <c r="AC165" t="s">
        <v>98</v>
      </c>
      <c r="AD165">
        <v>1</v>
      </c>
      <c r="AE165">
        <v>52</v>
      </c>
      <c r="AF165">
        <v>265</v>
      </c>
      <c r="AG165" t="s">
        <v>47</v>
      </c>
      <c r="AH165" t="s">
        <v>48</v>
      </c>
      <c r="AI165" t="s">
        <v>49</v>
      </c>
      <c r="AJ165" t="s">
        <v>50</v>
      </c>
      <c r="AK165" t="s">
        <v>51</v>
      </c>
      <c r="AL165">
        <v>3.6726999999999999</v>
      </c>
      <c r="AM165" t="s">
        <v>52</v>
      </c>
      <c r="AN165" t="s">
        <v>93</v>
      </c>
      <c r="AO165" t="s">
        <v>45</v>
      </c>
      <c r="AP165" t="s">
        <v>94</v>
      </c>
      <c r="AQ165" t="s">
        <v>55</v>
      </c>
    </row>
    <row r="166" spans="1:43" x14ac:dyDescent="0.3">
      <c r="A166" t="s">
        <v>43</v>
      </c>
      <c r="B166">
        <v>2020</v>
      </c>
      <c r="C166">
        <v>300</v>
      </c>
      <c r="D166">
        <v>5211</v>
      </c>
      <c r="E166">
        <v>7</v>
      </c>
      <c r="F166">
        <v>202305</v>
      </c>
      <c r="G166">
        <v>200028</v>
      </c>
      <c r="H166" t="s">
        <v>97</v>
      </c>
      <c r="I166" t="s">
        <v>45</v>
      </c>
      <c r="J166">
        <v>7</v>
      </c>
      <c r="K166">
        <f t="shared" ca="1" si="23"/>
        <v>11</v>
      </c>
      <c r="L166">
        <f t="shared" ca="1" si="24"/>
        <v>24</v>
      </c>
      <c r="M166">
        <f t="shared" ca="1" si="25"/>
        <v>127</v>
      </c>
      <c r="N166">
        <f t="shared" ca="1" si="25"/>
        <v>247</v>
      </c>
      <c r="O166">
        <f t="shared" ca="1" si="22"/>
        <v>-76</v>
      </c>
      <c r="P166">
        <f t="shared" ca="1" si="26"/>
        <v>-28</v>
      </c>
      <c r="Q166">
        <f t="shared" ca="1" si="27"/>
        <v>597</v>
      </c>
      <c r="R166">
        <f t="shared" ca="1" si="28"/>
        <v>-90</v>
      </c>
      <c r="S166">
        <f t="shared" ca="1" si="29"/>
        <v>6814</v>
      </c>
      <c r="T166">
        <f t="shared" ca="1" si="30"/>
        <v>9062</v>
      </c>
      <c r="U166">
        <f t="shared" ca="1" si="31"/>
        <v>620</v>
      </c>
      <c r="V166">
        <v>0</v>
      </c>
      <c r="W166">
        <v>0</v>
      </c>
      <c r="X166">
        <f t="shared" ca="1" si="32"/>
        <v>-277</v>
      </c>
      <c r="Y166">
        <v>0</v>
      </c>
      <c r="Z166">
        <v>0</v>
      </c>
      <c r="AA166">
        <v>100</v>
      </c>
      <c r="AB166" t="s">
        <v>61</v>
      </c>
      <c r="AC166" t="s">
        <v>203</v>
      </c>
      <c r="AD166">
        <v>1</v>
      </c>
      <c r="AE166">
        <v>52</v>
      </c>
      <c r="AF166">
        <v>265</v>
      </c>
      <c r="AG166" t="s">
        <v>47</v>
      </c>
      <c r="AH166" t="s">
        <v>48</v>
      </c>
      <c r="AI166" t="s">
        <v>49</v>
      </c>
      <c r="AJ166" t="s">
        <v>50</v>
      </c>
      <c r="AK166" t="s">
        <v>51</v>
      </c>
      <c r="AL166">
        <v>3.6726999999999999</v>
      </c>
      <c r="AM166" t="s">
        <v>52</v>
      </c>
      <c r="AN166" t="s">
        <v>93</v>
      </c>
      <c r="AO166" t="s">
        <v>45</v>
      </c>
      <c r="AP166" t="s">
        <v>94</v>
      </c>
      <c r="AQ166" t="s">
        <v>55</v>
      </c>
    </row>
    <row r="167" spans="1:43" x14ac:dyDescent="0.3">
      <c r="A167" t="s">
        <v>43</v>
      </c>
      <c r="B167">
        <v>2020</v>
      </c>
      <c r="C167">
        <v>300</v>
      </c>
      <c r="D167">
        <v>5211</v>
      </c>
      <c r="E167">
        <v>7</v>
      </c>
      <c r="F167">
        <v>202305</v>
      </c>
      <c r="G167">
        <v>1100125</v>
      </c>
      <c r="H167" t="s">
        <v>97</v>
      </c>
      <c r="I167" t="s">
        <v>45</v>
      </c>
      <c r="J167">
        <v>7</v>
      </c>
      <c r="K167">
        <f t="shared" ca="1" si="23"/>
        <v>52</v>
      </c>
      <c r="L167">
        <f t="shared" ca="1" si="24"/>
        <v>71</v>
      </c>
      <c r="M167">
        <f t="shared" ca="1" si="25"/>
        <v>103</v>
      </c>
      <c r="N167">
        <f t="shared" ca="1" si="25"/>
        <v>385</v>
      </c>
      <c r="O167">
        <f t="shared" ca="1" si="22"/>
        <v>988</v>
      </c>
      <c r="P167">
        <f t="shared" ca="1" si="26"/>
        <v>349</v>
      </c>
      <c r="Q167">
        <f t="shared" ca="1" si="27"/>
        <v>372</v>
      </c>
      <c r="R167">
        <f t="shared" ca="1" si="28"/>
        <v>220</v>
      </c>
      <c r="S167">
        <f t="shared" ca="1" si="29"/>
        <v>5347</v>
      </c>
      <c r="T167">
        <f t="shared" ca="1" si="30"/>
        <v>1982</v>
      </c>
      <c r="U167">
        <f t="shared" ca="1" si="31"/>
        <v>2</v>
      </c>
      <c r="V167">
        <v>0</v>
      </c>
      <c r="W167">
        <v>0</v>
      </c>
      <c r="X167">
        <f t="shared" ca="1" si="32"/>
        <v>-423</v>
      </c>
      <c r="Y167">
        <v>0</v>
      </c>
      <c r="Z167">
        <v>0</v>
      </c>
      <c r="AA167">
        <v>92</v>
      </c>
      <c r="AB167" t="s">
        <v>65</v>
      </c>
      <c r="AC167" t="s">
        <v>99</v>
      </c>
      <c r="AD167">
        <v>1</v>
      </c>
      <c r="AE167">
        <v>52</v>
      </c>
      <c r="AF167">
        <v>265</v>
      </c>
      <c r="AG167" t="s">
        <v>47</v>
      </c>
      <c r="AH167" t="s">
        <v>48</v>
      </c>
      <c r="AI167" t="s">
        <v>49</v>
      </c>
      <c r="AJ167" t="s">
        <v>50</v>
      </c>
      <c r="AK167" t="s">
        <v>51</v>
      </c>
      <c r="AL167">
        <v>3.6726999999999999</v>
      </c>
      <c r="AM167" t="s">
        <v>52</v>
      </c>
      <c r="AN167" t="s">
        <v>93</v>
      </c>
      <c r="AO167" t="s">
        <v>45</v>
      </c>
      <c r="AP167" t="s">
        <v>94</v>
      </c>
      <c r="AQ167" t="s">
        <v>55</v>
      </c>
    </row>
    <row r="168" spans="1:43" x14ac:dyDescent="0.3">
      <c r="A168" t="s">
        <v>43</v>
      </c>
      <c r="B168">
        <v>2020</v>
      </c>
      <c r="C168">
        <v>300</v>
      </c>
      <c r="D168">
        <v>5211</v>
      </c>
      <c r="E168">
        <v>7</v>
      </c>
      <c r="F168">
        <v>202305</v>
      </c>
      <c r="G168">
        <v>3100302</v>
      </c>
      <c r="H168" t="s">
        <v>97</v>
      </c>
      <c r="I168" t="s">
        <v>45</v>
      </c>
      <c r="J168">
        <v>7</v>
      </c>
      <c r="K168">
        <f t="shared" ca="1" si="23"/>
        <v>6</v>
      </c>
      <c r="L168">
        <f t="shared" ca="1" si="24"/>
        <v>34</v>
      </c>
      <c r="M168">
        <f t="shared" ca="1" si="25"/>
        <v>131</v>
      </c>
      <c r="N168">
        <f t="shared" ca="1" si="25"/>
        <v>275</v>
      </c>
      <c r="O168">
        <f t="shared" ca="1" si="22"/>
        <v>120</v>
      </c>
      <c r="P168">
        <f t="shared" ca="1" si="26"/>
        <v>677</v>
      </c>
      <c r="Q168">
        <f t="shared" ca="1" si="27"/>
        <v>58</v>
      </c>
      <c r="R168">
        <f t="shared" ca="1" si="28"/>
        <v>187</v>
      </c>
      <c r="S168">
        <f t="shared" ca="1" si="29"/>
        <v>12398</v>
      </c>
      <c r="T168">
        <f t="shared" ca="1" si="30"/>
        <v>8278</v>
      </c>
      <c r="U168">
        <f t="shared" ca="1" si="31"/>
        <v>572</v>
      </c>
      <c r="V168">
        <v>0</v>
      </c>
      <c r="W168">
        <v>0</v>
      </c>
      <c r="X168">
        <f t="shared" ca="1" si="32"/>
        <v>-88</v>
      </c>
      <c r="Y168">
        <v>0</v>
      </c>
      <c r="Z168">
        <v>0</v>
      </c>
      <c r="AA168">
        <v>100</v>
      </c>
      <c r="AB168" t="s">
        <v>80</v>
      </c>
      <c r="AC168" t="s">
        <v>82</v>
      </c>
      <c r="AD168">
        <v>1</v>
      </c>
      <c r="AE168">
        <v>52</v>
      </c>
      <c r="AF168">
        <v>265</v>
      </c>
      <c r="AG168" t="s">
        <v>47</v>
      </c>
      <c r="AH168" t="s">
        <v>48</v>
      </c>
      <c r="AI168" t="s">
        <v>49</v>
      </c>
      <c r="AJ168" t="s">
        <v>50</v>
      </c>
      <c r="AK168" t="s">
        <v>51</v>
      </c>
      <c r="AL168">
        <v>3.6726999999999999</v>
      </c>
      <c r="AM168" t="s">
        <v>52</v>
      </c>
      <c r="AN168" t="s">
        <v>93</v>
      </c>
      <c r="AO168" t="s">
        <v>45</v>
      </c>
      <c r="AP168" t="s">
        <v>94</v>
      </c>
      <c r="AQ168" t="s">
        <v>55</v>
      </c>
    </row>
    <row r="169" spans="1:43" x14ac:dyDescent="0.3">
      <c r="A169" t="s">
        <v>43</v>
      </c>
      <c r="B169">
        <v>2020</v>
      </c>
      <c r="C169">
        <v>300</v>
      </c>
      <c r="D169">
        <v>5211</v>
      </c>
      <c r="E169">
        <v>7</v>
      </c>
      <c r="F169">
        <v>202305</v>
      </c>
      <c r="G169">
        <v>3100303</v>
      </c>
      <c r="H169" t="s">
        <v>97</v>
      </c>
      <c r="I169" t="s">
        <v>45</v>
      </c>
      <c r="J169">
        <v>7</v>
      </c>
      <c r="K169">
        <f t="shared" ca="1" si="23"/>
        <v>99</v>
      </c>
      <c r="L169">
        <f t="shared" ca="1" si="24"/>
        <v>-84</v>
      </c>
      <c r="M169">
        <f t="shared" ca="1" si="25"/>
        <v>216</v>
      </c>
      <c r="N169">
        <f t="shared" ca="1" si="25"/>
        <v>-27</v>
      </c>
      <c r="O169">
        <f t="shared" ca="1" si="22"/>
        <v>970</v>
      </c>
      <c r="P169">
        <f t="shared" ca="1" si="26"/>
        <v>275</v>
      </c>
      <c r="Q169">
        <f t="shared" ca="1" si="27"/>
        <v>219</v>
      </c>
      <c r="R169">
        <f t="shared" ca="1" si="28"/>
        <v>234</v>
      </c>
      <c r="S169">
        <f t="shared" ca="1" si="29"/>
        <v>624</v>
      </c>
      <c r="T169">
        <f t="shared" ca="1" si="30"/>
        <v>-46</v>
      </c>
      <c r="U169">
        <f t="shared" ca="1" si="31"/>
        <v>1250</v>
      </c>
      <c r="V169">
        <v>0</v>
      </c>
      <c r="W169">
        <v>0</v>
      </c>
      <c r="X169">
        <f t="shared" ca="1" si="32"/>
        <v>4</v>
      </c>
      <c r="Y169">
        <v>0</v>
      </c>
      <c r="Z169">
        <v>0</v>
      </c>
      <c r="AA169">
        <v>100</v>
      </c>
      <c r="AB169" t="s">
        <v>80</v>
      </c>
      <c r="AC169" t="s">
        <v>83</v>
      </c>
      <c r="AD169">
        <v>1</v>
      </c>
      <c r="AE169">
        <v>52</v>
      </c>
      <c r="AF169">
        <v>265</v>
      </c>
      <c r="AG169" t="s">
        <v>47</v>
      </c>
      <c r="AH169" t="s">
        <v>48</v>
      </c>
      <c r="AI169" t="s">
        <v>49</v>
      </c>
      <c r="AJ169" t="s">
        <v>50</v>
      </c>
      <c r="AK169" t="s">
        <v>51</v>
      </c>
      <c r="AL169">
        <v>3.6726999999999999</v>
      </c>
      <c r="AM169" t="s">
        <v>52</v>
      </c>
      <c r="AN169" t="s">
        <v>93</v>
      </c>
      <c r="AO169" t="s">
        <v>45</v>
      </c>
      <c r="AP169" t="s">
        <v>94</v>
      </c>
      <c r="AQ169" t="s">
        <v>55</v>
      </c>
    </row>
    <row r="170" spans="1:43" x14ac:dyDescent="0.3">
      <c r="A170" t="s">
        <v>43</v>
      </c>
      <c r="B170">
        <v>2020</v>
      </c>
      <c r="C170">
        <v>300</v>
      </c>
      <c r="D170">
        <v>5211</v>
      </c>
      <c r="E170">
        <v>7</v>
      </c>
      <c r="F170">
        <v>202305</v>
      </c>
      <c r="G170">
        <v>3100410</v>
      </c>
      <c r="H170" t="s">
        <v>97</v>
      </c>
      <c r="I170" t="s">
        <v>45</v>
      </c>
      <c r="J170">
        <v>7</v>
      </c>
      <c r="K170">
        <f t="shared" ca="1" si="23"/>
        <v>78</v>
      </c>
      <c r="L170">
        <f t="shared" ca="1" si="24"/>
        <v>-95</v>
      </c>
      <c r="M170">
        <f t="shared" ca="1" si="25"/>
        <v>294</v>
      </c>
      <c r="N170">
        <f t="shared" ca="1" si="25"/>
        <v>34</v>
      </c>
      <c r="O170">
        <f t="shared" ca="1" si="22"/>
        <v>-95</v>
      </c>
      <c r="P170">
        <f t="shared" ca="1" si="26"/>
        <v>364</v>
      </c>
      <c r="Q170">
        <f t="shared" ca="1" si="27"/>
        <v>506</v>
      </c>
      <c r="R170">
        <f t="shared" ca="1" si="28"/>
        <v>61</v>
      </c>
      <c r="S170">
        <f t="shared" ca="1" si="29"/>
        <v>14939</v>
      </c>
      <c r="T170">
        <f t="shared" ca="1" si="30"/>
        <v>1347</v>
      </c>
      <c r="U170">
        <f t="shared" ca="1" si="31"/>
        <v>582</v>
      </c>
      <c r="V170">
        <v>0</v>
      </c>
      <c r="W170">
        <v>0</v>
      </c>
      <c r="X170">
        <f t="shared" ca="1" si="32"/>
        <v>-470</v>
      </c>
      <c r="Y170">
        <v>0</v>
      </c>
      <c r="Z170">
        <v>0</v>
      </c>
      <c r="AA170">
        <v>100</v>
      </c>
      <c r="AB170" t="s">
        <v>80</v>
      </c>
      <c r="AC170" t="s">
        <v>100</v>
      </c>
      <c r="AD170">
        <v>1</v>
      </c>
      <c r="AE170">
        <v>52</v>
      </c>
      <c r="AF170">
        <v>265</v>
      </c>
      <c r="AG170" t="s">
        <v>47</v>
      </c>
      <c r="AH170" t="s">
        <v>48</v>
      </c>
      <c r="AI170" t="s">
        <v>49</v>
      </c>
      <c r="AJ170" t="s">
        <v>50</v>
      </c>
      <c r="AK170" t="s">
        <v>51</v>
      </c>
      <c r="AL170">
        <v>3.6726999999999999</v>
      </c>
      <c r="AM170" t="s">
        <v>52</v>
      </c>
      <c r="AN170" t="s">
        <v>93</v>
      </c>
      <c r="AO170" t="s">
        <v>45</v>
      </c>
      <c r="AP170" t="s">
        <v>94</v>
      </c>
      <c r="AQ170" t="s">
        <v>55</v>
      </c>
    </row>
    <row r="171" spans="1:43" x14ac:dyDescent="0.3">
      <c r="A171" t="s">
        <v>43</v>
      </c>
      <c r="B171">
        <v>2020</v>
      </c>
      <c r="C171">
        <v>300</v>
      </c>
      <c r="D171">
        <v>5211</v>
      </c>
      <c r="E171">
        <v>7</v>
      </c>
      <c r="F171">
        <v>202305</v>
      </c>
      <c r="G171">
        <v>3100411</v>
      </c>
      <c r="H171" t="s">
        <v>97</v>
      </c>
      <c r="I171" t="s">
        <v>45</v>
      </c>
      <c r="J171">
        <v>7</v>
      </c>
      <c r="K171">
        <f t="shared" ca="1" si="23"/>
        <v>69</v>
      </c>
      <c r="L171">
        <f t="shared" ca="1" si="24"/>
        <v>-73</v>
      </c>
      <c r="M171">
        <f t="shared" ca="1" si="25"/>
        <v>420</v>
      </c>
      <c r="N171">
        <f t="shared" ca="1" si="25"/>
        <v>320</v>
      </c>
      <c r="O171">
        <f t="shared" ca="1" si="22"/>
        <v>628</v>
      </c>
      <c r="P171">
        <f t="shared" ca="1" si="26"/>
        <v>802</v>
      </c>
      <c r="Q171">
        <f t="shared" ca="1" si="27"/>
        <v>187</v>
      </c>
      <c r="R171">
        <f t="shared" ca="1" si="28"/>
        <v>245</v>
      </c>
      <c r="S171">
        <f t="shared" ca="1" si="29"/>
        <v>2158</v>
      </c>
      <c r="T171">
        <f t="shared" ca="1" si="30"/>
        <v>7945</v>
      </c>
      <c r="U171">
        <f t="shared" ca="1" si="31"/>
        <v>1163</v>
      </c>
      <c r="V171">
        <v>0</v>
      </c>
      <c r="W171">
        <v>0</v>
      </c>
      <c r="X171">
        <f t="shared" ca="1" si="32"/>
        <v>-183</v>
      </c>
      <c r="Y171">
        <v>0</v>
      </c>
      <c r="Z171">
        <v>0</v>
      </c>
      <c r="AA171">
        <v>100</v>
      </c>
      <c r="AB171" t="s">
        <v>80</v>
      </c>
      <c r="AC171" t="s">
        <v>101</v>
      </c>
      <c r="AD171">
        <v>1</v>
      </c>
      <c r="AE171">
        <v>52</v>
      </c>
      <c r="AF171">
        <v>265</v>
      </c>
      <c r="AG171" t="s">
        <v>47</v>
      </c>
      <c r="AH171" t="s">
        <v>48</v>
      </c>
      <c r="AI171" t="s">
        <v>49</v>
      </c>
      <c r="AJ171" t="s">
        <v>50</v>
      </c>
      <c r="AK171" t="s">
        <v>51</v>
      </c>
      <c r="AL171">
        <v>3.6726999999999999</v>
      </c>
      <c r="AM171" t="s">
        <v>52</v>
      </c>
      <c r="AN171" t="s">
        <v>93</v>
      </c>
      <c r="AO171" t="s">
        <v>45</v>
      </c>
      <c r="AP171" t="s">
        <v>94</v>
      </c>
      <c r="AQ171" t="s">
        <v>55</v>
      </c>
    </row>
    <row r="172" spans="1:43" x14ac:dyDescent="0.3">
      <c r="A172" t="s">
        <v>43</v>
      </c>
      <c r="B172">
        <v>2020</v>
      </c>
      <c r="C172">
        <v>300</v>
      </c>
      <c r="D172">
        <v>5211</v>
      </c>
      <c r="E172">
        <v>9</v>
      </c>
      <c r="F172">
        <v>202305</v>
      </c>
      <c r="G172">
        <v>1</v>
      </c>
      <c r="H172" t="s">
        <v>77</v>
      </c>
      <c r="I172" t="s">
        <v>45</v>
      </c>
      <c r="J172">
        <v>2</v>
      </c>
      <c r="K172">
        <f t="shared" ca="1" si="23"/>
        <v>75</v>
      </c>
      <c r="L172">
        <f t="shared" ca="1" si="24"/>
        <v>-35</v>
      </c>
      <c r="M172">
        <f t="shared" ca="1" si="25"/>
        <v>3</v>
      </c>
      <c r="N172">
        <f t="shared" ca="1" si="25"/>
        <v>433</v>
      </c>
      <c r="O172">
        <f t="shared" ca="1" si="22"/>
        <v>82</v>
      </c>
      <c r="P172">
        <f t="shared" ca="1" si="26"/>
        <v>821</v>
      </c>
      <c r="Q172">
        <f t="shared" ca="1" si="27"/>
        <v>1023</v>
      </c>
      <c r="R172">
        <f t="shared" ca="1" si="28"/>
        <v>245</v>
      </c>
      <c r="S172">
        <f t="shared" ca="1" si="29"/>
        <v>9882</v>
      </c>
      <c r="T172">
        <f t="shared" ca="1" si="30"/>
        <v>1648</v>
      </c>
      <c r="U172">
        <f t="shared" ca="1" si="31"/>
        <v>762</v>
      </c>
      <c r="V172">
        <v>0</v>
      </c>
      <c r="W172">
        <v>0</v>
      </c>
      <c r="X172">
        <f t="shared" ca="1" si="32"/>
        <v>-277</v>
      </c>
      <c r="Y172">
        <v>0</v>
      </c>
      <c r="Z172">
        <v>0</v>
      </c>
      <c r="AA172">
        <v>100</v>
      </c>
      <c r="AB172" t="s">
        <v>57</v>
      </c>
      <c r="AD172">
        <v>1</v>
      </c>
      <c r="AE172">
        <v>52</v>
      </c>
      <c r="AF172">
        <v>265</v>
      </c>
      <c r="AG172" t="s">
        <v>47</v>
      </c>
      <c r="AH172" t="s">
        <v>48</v>
      </c>
      <c r="AI172" t="s">
        <v>49</v>
      </c>
      <c r="AJ172" t="s">
        <v>50</v>
      </c>
      <c r="AK172" t="s">
        <v>51</v>
      </c>
      <c r="AL172">
        <v>3.6726999999999999</v>
      </c>
      <c r="AM172" t="s">
        <v>52</v>
      </c>
      <c r="AN172" t="s">
        <v>93</v>
      </c>
      <c r="AO172" t="s">
        <v>78</v>
      </c>
      <c r="AP172" t="s">
        <v>94</v>
      </c>
      <c r="AQ172" t="s">
        <v>55</v>
      </c>
    </row>
    <row r="173" spans="1:43" x14ac:dyDescent="0.3">
      <c r="A173" t="s">
        <v>43</v>
      </c>
      <c r="B173">
        <v>2020</v>
      </c>
      <c r="C173">
        <v>300</v>
      </c>
      <c r="D173">
        <v>5211</v>
      </c>
      <c r="E173">
        <v>9</v>
      </c>
      <c r="F173">
        <v>202305</v>
      </c>
      <c r="G173">
        <v>2</v>
      </c>
      <c r="H173" t="s">
        <v>77</v>
      </c>
      <c r="I173" t="s">
        <v>45</v>
      </c>
      <c r="J173">
        <v>2</v>
      </c>
      <c r="K173">
        <f t="shared" ca="1" si="23"/>
        <v>23</v>
      </c>
      <c r="L173">
        <f t="shared" ca="1" si="24"/>
        <v>57</v>
      </c>
      <c r="M173">
        <f t="shared" ca="1" si="25"/>
        <v>-32</v>
      </c>
      <c r="N173">
        <f t="shared" ca="1" si="25"/>
        <v>260</v>
      </c>
      <c r="O173">
        <f t="shared" ca="1" si="22"/>
        <v>490</v>
      </c>
      <c r="P173">
        <f t="shared" ca="1" si="26"/>
        <v>1438</v>
      </c>
      <c r="Q173">
        <f t="shared" ca="1" si="27"/>
        <v>868</v>
      </c>
      <c r="R173">
        <f t="shared" ca="1" si="28"/>
        <v>101</v>
      </c>
      <c r="S173">
        <f t="shared" ca="1" si="29"/>
        <v>4490</v>
      </c>
      <c r="T173">
        <f t="shared" ca="1" si="30"/>
        <v>7908</v>
      </c>
      <c r="U173">
        <f t="shared" ca="1" si="31"/>
        <v>581</v>
      </c>
      <c r="V173">
        <v>0</v>
      </c>
      <c r="W173">
        <v>0</v>
      </c>
      <c r="X173">
        <f t="shared" ca="1" si="32"/>
        <v>-396</v>
      </c>
      <c r="Y173">
        <v>0</v>
      </c>
      <c r="Z173">
        <v>0</v>
      </c>
      <c r="AA173">
        <v>100</v>
      </c>
      <c r="AB173" t="s">
        <v>61</v>
      </c>
      <c r="AD173">
        <v>1</v>
      </c>
      <c r="AE173">
        <v>52</v>
      </c>
      <c r="AF173">
        <v>265</v>
      </c>
      <c r="AG173" t="s">
        <v>47</v>
      </c>
      <c r="AH173" t="s">
        <v>48</v>
      </c>
      <c r="AI173" t="s">
        <v>49</v>
      </c>
      <c r="AJ173" t="s">
        <v>50</v>
      </c>
      <c r="AK173" t="s">
        <v>51</v>
      </c>
      <c r="AL173">
        <v>3.6726999999999999</v>
      </c>
      <c r="AM173" t="s">
        <v>52</v>
      </c>
      <c r="AN173" t="s">
        <v>93</v>
      </c>
      <c r="AO173" t="s">
        <v>78</v>
      </c>
      <c r="AP173" t="s">
        <v>94</v>
      </c>
      <c r="AQ173" t="s">
        <v>55</v>
      </c>
    </row>
    <row r="174" spans="1:43" x14ac:dyDescent="0.3">
      <c r="A174" t="s">
        <v>43</v>
      </c>
      <c r="B174">
        <v>2020</v>
      </c>
      <c r="C174">
        <v>300</v>
      </c>
      <c r="D174">
        <v>5211</v>
      </c>
      <c r="E174">
        <v>9</v>
      </c>
      <c r="F174">
        <v>202305</v>
      </c>
      <c r="G174">
        <v>3</v>
      </c>
      <c r="H174" t="s">
        <v>77</v>
      </c>
      <c r="I174" t="s">
        <v>45</v>
      </c>
      <c r="J174">
        <v>2</v>
      </c>
      <c r="K174">
        <f t="shared" ca="1" si="23"/>
        <v>47</v>
      </c>
      <c r="L174">
        <f t="shared" ca="1" si="24"/>
        <v>54</v>
      </c>
      <c r="M174">
        <f t="shared" ca="1" si="25"/>
        <v>22</v>
      </c>
      <c r="N174">
        <f t="shared" ca="1" si="25"/>
        <v>30</v>
      </c>
      <c r="O174">
        <f t="shared" ca="1" si="22"/>
        <v>115</v>
      </c>
      <c r="P174">
        <f t="shared" ca="1" si="26"/>
        <v>-333</v>
      </c>
      <c r="Q174">
        <f t="shared" ca="1" si="27"/>
        <v>938</v>
      </c>
      <c r="R174">
        <f t="shared" ca="1" si="28"/>
        <v>315</v>
      </c>
      <c r="S174">
        <f t="shared" ca="1" si="29"/>
        <v>14786</v>
      </c>
      <c r="T174">
        <f t="shared" ca="1" si="30"/>
        <v>2173</v>
      </c>
      <c r="U174">
        <f t="shared" ca="1" si="31"/>
        <v>96</v>
      </c>
      <c r="V174">
        <v>0</v>
      </c>
      <c r="W174">
        <v>0</v>
      </c>
      <c r="X174">
        <f t="shared" ca="1" si="32"/>
        <v>-328</v>
      </c>
      <c r="Y174">
        <v>0</v>
      </c>
      <c r="Z174">
        <v>0</v>
      </c>
      <c r="AA174">
        <v>100</v>
      </c>
      <c r="AB174" t="s">
        <v>62</v>
      </c>
      <c r="AD174">
        <v>1</v>
      </c>
      <c r="AE174">
        <v>52</v>
      </c>
      <c r="AF174">
        <v>265</v>
      </c>
      <c r="AG174" t="s">
        <v>47</v>
      </c>
      <c r="AH174" t="s">
        <v>48</v>
      </c>
      <c r="AI174" t="s">
        <v>49</v>
      </c>
      <c r="AJ174" t="s">
        <v>50</v>
      </c>
      <c r="AK174" t="s">
        <v>51</v>
      </c>
      <c r="AL174">
        <v>3.6726999999999999</v>
      </c>
      <c r="AM174" t="s">
        <v>52</v>
      </c>
      <c r="AN174" t="s">
        <v>93</v>
      </c>
      <c r="AO174" t="s">
        <v>78</v>
      </c>
      <c r="AP174" t="s">
        <v>94</v>
      </c>
      <c r="AQ174" t="s">
        <v>55</v>
      </c>
    </row>
    <row r="175" spans="1:43" x14ac:dyDescent="0.3">
      <c r="A175" t="s">
        <v>43</v>
      </c>
      <c r="B175">
        <v>2020</v>
      </c>
      <c r="C175">
        <v>300</v>
      </c>
      <c r="D175">
        <v>5211</v>
      </c>
      <c r="E175">
        <v>9</v>
      </c>
      <c r="F175">
        <v>202305</v>
      </c>
      <c r="G175">
        <v>11</v>
      </c>
      <c r="H175" t="s">
        <v>77</v>
      </c>
      <c r="I175" t="s">
        <v>45</v>
      </c>
      <c r="J175">
        <v>2</v>
      </c>
      <c r="K175">
        <f t="shared" ca="1" si="23"/>
        <v>35</v>
      </c>
      <c r="L175">
        <f t="shared" ca="1" si="24"/>
        <v>-5</v>
      </c>
      <c r="M175">
        <f t="shared" ca="1" si="25"/>
        <v>353</v>
      </c>
      <c r="N175">
        <f t="shared" ca="1" si="25"/>
        <v>167</v>
      </c>
      <c r="O175">
        <f t="shared" ca="1" si="22"/>
        <v>6</v>
      </c>
      <c r="P175">
        <f t="shared" ca="1" si="26"/>
        <v>-225</v>
      </c>
      <c r="Q175">
        <f t="shared" ca="1" si="27"/>
        <v>37</v>
      </c>
      <c r="R175">
        <f t="shared" ca="1" si="28"/>
        <v>-27</v>
      </c>
      <c r="S175">
        <f t="shared" ca="1" si="29"/>
        <v>11074</v>
      </c>
      <c r="T175">
        <f t="shared" ca="1" si="30"/>
        <v>5711</v>
      </c>
      <c r="U175">
        <f t="shared" ca="1" si="31"/>
        <v>1033</v>
      </c>
      <c r="V175">
        <v>0</v>
      </c>
      <c r="W175">
        <v>0</v>
      </c>
      <c r="X175">
        <f t="shared" ca="1" si="32"/>
        <v>-21</v>
      </c>
      <c r="Y175">
        <v>0</v>
      </c>
      <c r="Z175">
        <v>0</v>
      </c>
      <c r="AA175">
        <v>100</v>
      </c>
      <c r="AB175" t="s">
        <v>65</v>
      </c>
      <c r="AD175">
        <v>1</v>
      </c>
      <c r="AE175">
        <v>52</v>
      </c>
      <c r="AF175">
        <v>265</v>
      </c>
      <c r="AG175" t="s">
        <v>47</v>
      </c>
      <c r="AH175" t="s">
        <v>48</v>
      </c>
      <c r="AI175" t="s">
        <v>49</v>
      </c>
      <c r="AJ175" t="s">
        <v>50</v>
      </c>
      <c r="AK175" t="s">
        <v>51</v>
      </c>
      <c r="AL175">
        <v>3.6726999999999999</v>
      </c>
      <c r="AM175" t="s">
        <v>52</v>
      </c>
      <c r="AN175" t="s">
        <v>93</v>
      </c>
      <c r="AO175" t="s">
        <v>78</v>
      </c>
      <c r="AP175" t="s">
        <v>94</v>
      </c>
      <c r="AQ175" t="s">
        <v>55</v>
      </c>
    </row>
    <row r="176" spans="1:43" x14ac:dyDescent="0.3">
      <c r="A176" t="s">
        <v>43</v>
      </c>
      <c r="B176">
        <v>2020</v>
      </c>
      <c r="C176">
        <v>300</v>
      </c>
      <c r="D176">
        <v>5211</v>
      </c>
      <c r="E176">
        <v>9</v>
      </c>
      <c r="F176">
        <v>202305</v>
      </c>
      <c r="G176">
        <v>31</v>
      </c>
      <c r="H176" t="s">
        <v>77</v>
      </c>
      <c r="I176" t="s">
        <v>45</v>
      </c>
      <c r="J176">
        <v>2</v>
      </c>
      <c r="K176">
        <f t="shared" ca="1" si="23"/>
        <v>16</v>
      </c>
      <c r="L176">
        <f t="shared" ca="1" si="24"/>
        <v>-2</v>
      </c>
      <c r="M176">
        <f t="shared" ca="1" si="25"/>
        <v>208</v>
      </c>
      <c r="N176">
        <f t="shared" ca="1" si="25"/>
        <v>80</v>
      </c>
      <c r="O176">
        <f t="shared" ca="1" si="22"/>
        <v>664</v>
      </c>
      <c r="P176">
        <f t="shared" ca="1" si="26"/>
        <v>-361</v>
      </c>
      <c r="Q176">
        <f t="shared" ca="1" si="27"/>
        <v>218</v>
      </c>
      <c r="R176">
        <f t="shared" ca="1" si="28"/>
        <v>466</v>
      </c>
      <c r="S176">
        <f t="shared" ca="1" si="29"/>
        <v>11965</v>
      </c>
      <c r="T176">
        <f t="shared" ca="1" si="30"/>
        <v>6793</v>
      </c>
      <c r="U176">
        <f t="shared" ca="1" si="31"/>
        <v>1097</v>
      </c>
      <c r="V176">
        <v>0</v>
      </c>
      <c r="W176">
        <v>0</v>
      </c>
      <c r="X176">
        <f t="shared" ca="1" si="32"/>
        <v>79</v>
      </c>
      <c r="Y176">
        <v>0</v>
      </c>
      <c r="Z176">
        <v>0</v>
      </c>
      <c r="AA176">
        <v>100</v>
      </c>
      <c r="AB176" t="s">
        <v>80</v>
      </c>
      <c r="AD176">
        <v>1</v>
      </c>
      <c r="AE176">
        <v>52</v>
      </c>
      <c r="AF176">
        <v>265</v>
      </c>
      <c r="AG176" t="s">
        <v>47</v>
      </c>
      <c r="AH176" t="s">
        <v>48</v>
      </c>
      <c r="AI176" t="s">
        <v>49</v>
      </c>
      <c r="AJ176" t="s">
        <v>50</v>
      </c>
      <c r="AK176" t="s">
        <v>51</v>
      </c>
      <c r="AL176">
        <v>3.6726999999999999</v>
      </c>
      <c r="AM176" t="s">
        <v>52</v>
      </c>
      <c r="AN176" t="s">
        <v>93</v>
      </c>
      <c r="AO176" t="s">
        <v>78</v>
      </c>
      <c r="AP176" t="s">
        <v>94</v>
      </c>
      <c r="AQ176" t="s">
        <v>55</v>
      </c>
    </row>
    <row r="177" spans="1:43" x14ac:dyDescent="0.3">
      <c r="A177" t="s">
        <v>43</v>
      </c>
      <c r="B177">
        <v>2020</v>
      </c>
      <c r="C177">
        <v>300</v>
      </c>
      <c r="D177">
        <v>5211</v>
      </c>
      <c r="E177">
        <v>15</v>
      </c>
      <c r="F177">
        <v>202305</v>
      </c>
      <c r="G177">
        <v>100001</v>
      </c>
      <c r="H177" t="s">
        <v>104</v>
      </c>
      <c r="I177" t="s">
        <v>45</v>
      </c>
      <c r="J177">
        <v>7</v>
      </c>
      <c r="K177">
        <f t="shared" ca="1" si="23"/>
        <v>31</v>
      </c>
      <c r="L177">
        <f t="shared" ca="1" si="24"/>
        <v>11</v>
      </c>
      <c r="M177">
        <f t="shared" ca="1" si="25"/>
        <v>487</v>
      </c>
      <c r="N177">
        <f t="shared" ca="1" si="25"/>
        <v>102</v>
      </c>
      <c r="O177">
        <f t="shared" ca="1" si="22"/>
        <v>442</v>
      </c>
      <c r="P177">
        <f t="shared" ca="1" si="26"/>
        <v>-335</v>
      </c>
      <c r="Q177">
        <f t="shared" ca="1" si="27"/>
        <v>12</v>
      </c>
      <c r="R177">
        <f t="shared" ca="1" si="28"/>
        <v>369</v>
      </c>
      <c r="S177">
        <f t="shared" ca="1" si="29"/>
        <v>3547</v>
      </c>
      <c r="T177">
        <f t="shared" ca="1" si="30"/>
        <v>1106</v>
      </c>
      <c r="U177">
        <f t="shared" ca="1" si="31"/>
        <v>1143</v>
      </c>
      <c r="V177">
        <v>0</v>
      </c>
      <c r="W177">
        <v>0</v>
      </c>
      <c r="X177">
        <f t="shared" ca="1" si="32"/>
        <v>59</v>
      </c>
      <c r="Y177">
        <v>0</v>
      </c>
      <c r="Z177">
        <v>0</v>
      </c>
      <c r="AA177">
        <v>100</v>
      </c>
      <c r="AB177" t="s">
        <v>57</v>
      </c>
      <c r="AC177" t="s">
        <v>67</v>
      </c>
      <c r="AD177">
        <v>1</v>
      </c>
      <c r="AE177">
        <v>52</v>
      </c>
      <c r="AF177">
        <v>265</v>
      </c>
      <c r="AG177" t="s">
        <v>47</v>
      </c>
      <c r="AH177" t="s">
        <v>48</v>
      </c>
      <c r="AI177" t="s">
        <v>49</v>
      </c>
      <c r="AJ177" t="s">
        <v>50</v>
      </c>
      <c r="AK177" t="s">
        <v>51</v>
      </c>
      <c r="AL177">
        <v>3.6726999999999999</v>
      </c>
      <c r="AM177" t="s">
        <v>52</v>
      </c>
      <c r="AN177" t="s">
        <v>93</v>
      </c>
      <c r="AO177" t="s">
        <v>54</v>
      </c>
      <c r="AP177" t="s">
        <v>94</v>
      </c>
      <c r="AQ177" t="s">
        <v>55</v>
      </c>
    </row>
    <row r="178" spans="1:43" x14ac:dyDescent="0.3">
      <c r="A178" t="s">
        <v>43</v>
      </c>
      <c r="B178">
        <v>2020</v>
      </c>
      <c r="C178">
        <v>300</v>
      </c>
      <c r="D178">
        <v>5211</v>
      </c>
      <c r="E178">
        <v>15</v>
      </c>
      <c r="F178">
        <v>202305</v>
      </c>
      <c r="G178">
        <v>200019</v>
      </c>
      <c r="H178" t="s">
        <v>104</v>
      </c>
      <c r="I178" t="s">
        <v>45</v>
      </c>
      <c r="J178">
        <v>7</v>
      </c>
      <c r="K178">
        <f t="shared" ca="1" si="23"/>
        <v>11</v>
      </c>
      <c r="L178">
        <f t="shared" ca="1" si="24"/>
        <v>2</v>
      </c>
      <c r="M178">
        <f t="shared" ca="1" si="25"/>
        <v>-32</v>
      </c>
      <c r="N178">
        <f t="shared" ca="1" si="25"/>
        <v>276</v>
      </c>
      <c r="O178">
        <f t="shared" ca="1" si="22"/>
        <v>179</v>
      </c>
      <c r="P178">
        <f t="shared" ca="1" si="26"/>
        <v>895</v>
      </c>
      <c r="Q178">
        <f t="shared" ca="1" si="27"/>
        <v>92</v>
      </c>
      <c r="R178">
        <f t="shared" ca="1" si="28"/>
        <v>227</v>
      </c>
      <c r="S178">
        <f t="shared" ca="1" si="29"/>
        <v>2127</v>
      </c>
      <c r="T178">
        <f t="shared" ca="1" si="30"/>
        <v>3810</v>
      </c>
      <c r="U178">
        <f t="shared" ca="1" si="31"/>
        <v>85</v>
      </c>
      <c r="V178">
        <v>0</v>
      </c>
      <c r="W178">
        <v>0</v>
      </c>
      <c r="X178">
        <f t="shared" ca="1" si="32"/>
        <v>-427</v>
      </c>
      <c r="Y178">
        <v>0</v>
      </c>
      <c r="Z178">
        <v>0</v>
      </c>
      <c r="AA178">
        <v>100</v>
      </c>
      <c r="AB178" t="s">
        <v>61</v>
      </c>
      <c r="AC178" t="s">
        <v>105</v>
      </c>
      <c r="AD178">
        <v>1</v>
      </c>
      <c r="AE178">
        <v>52</v>
      </c>
      <c r="AF178">
        <v>265</v>
      </c>
      <c r="AG178" t="s">
        <v>47</v>
      </c>
      <c r="AH178" t="s">
        <v>48</v>
      </c>
      <c r="AI178" t="s">
        <v>49</v>
      </c>
      <c r="AJ178" t="s">
        <v>50</v>
      </c>
      <c r="AK178" t="s">
        <v>51</v>
      </c>
      <c r="AL178">
        <v>3.6726999999999999</v>
      </c>
      <c r="AM178" t="s">
        <v>52</v>
      </c>
      <c r="AN178" t="s">
        <v>93</v>
      </c>
      <c r="AO178" t="s">
        <v>54</v>
      </c>
      <c r="AP178" t="s">
        <v>94</v>
      </c>
      <c r="AQ178" t="s">
        <v>55</v>
      </c>
    </row>
    <row r="179" spans="1:43" x14ac:dyDescent="0.3">
      <c r="A179" t="s">
        <v>43</v>
      </c>
      <c r="B179">
        <v>2020</v>
      </c>
      <c r="C179">
        <v>300</v>
      </c>
      <c r="D179">
        <v>5211</v>
      </c>
      <c r="E179">
        <v>15</v>
      </c>
      <c r="F179">
        <v>202305</v>
      </c>
      <c r="G179">
        <v>1100128</v>
      </c>
      <c r="H179" t="s">
        <v>104</v>
      </c>
      <c r="I179" t="s">
        <v>45</v>
      </c>
      <c r="J179">
        <v>7</v>
      </c>
      <c r="K179">
        <f t="shared" ca="1" si="23"/>
        <v>19</v>
      </c>
      <c r="L179">
        <f t="shared" ca="1" si="24"/>
        <v>100</v>
      </c>
      <c r="M179">
        <f t="shared" ca="1" si="25"/>
        <v>61</v>
      </c>
      <c r="N179">
        <f t="shared" ca="1" si="25"/>
        <v>96</v>
      </c>
      <c r="O179">
        <f t="shared" ca="1" si="22"/>
        <v>665</v>
      </c>
      <c r="P179">
        <f t="shared" ca="1" si="26"/>
        <v>-1</v>
      </c>
      <c r="Q179">
        <f t="shared" ca="1" si="27"/>
        <v>99</v>
      </c>
      <c r="R179">
        <f t="shared" ca="1" si="28"/>
        <v>-54</v>
      </c>
      <c r="S179">
        <f t="shared" ca="1" si="29"/>
        <v>6454</v>
      </c>
      <c r="T179">
        <f t="shared" ca="1" si="30"/>
        <v>9268</v>
      </c>
      <c r="U179">
        <f t="shared" ca="1" si="31"/>
        <v>345</v>
      </c>
      <c r="V179">
        <v>0</v>
      </c>
      <c r="W179">
        <v>0</v>
      </c>
      <c r="X179">
        <f t="shared" ca="1" si="32"/>
        <v>28</v>
      </c>
      <c r="Y179">
        <v>0</v>
      </c>
      <c r="Z179">
        <v>0</v>
      </c>
      <c r="AA179">
        <v>100</v>
      </c>
      <c r="AB179" t="s">
        <v>65</v>
      </c>
      <c r="AC179" t="s">
        <v>106</v>
      </c>
      <c r="AD179">
        <v>1</v>
      </c>
      <c r="AE179">
        <v>52</v>
      </c>
      <c r="AF179">
        <v>265</v>
      </c>
      <c r="AG179" t="s">
        <v>47</v>
      </c>
      <c r="AH179" t="s">
        <v>48</v>
      </c>
      <c r="AI179" t="s">
        <v>49</v>
      </c>
      <c r="AJ179" t="s">
        <v>50</v>
      </c>
      <c r="AK179" t="s">
        <v>51</v>
      </c>
      <c r="AL179">
        <v>3.6726999999999999</v>
      </c>
      <c r="AM179" t="s">
        <v>52</v>
      </c>
      <c r="AN179" t="s">
        <v>93</v>
      </c>
      <c r="AO179" t="s">
        <v>54</v>
      </c>
      <c r="AP179" t="s">
        <v>94</v>
      </c>
      <c r="AQ179" t="s">
        <v>55</v>
      </c>
    </row>
    <row r="180" spans="1:43" x14ac:dyDescent="0.3">
      <c r="A180" t="s">
        <v>43</v>
      </c>
      <c r="B180">
        <v>2020</v>
      </c>
      <c r="C180">
        <v>300</v>
      </c>
      <c r="D180">
        <v>5211</v>
      </c>
      <c r="E180">
        <v>15</v>
      </c>
      <c r="F180">
        <v>202305</v>
      </c>
      <c r="G180">
        <v>3100302</v>
      </c>
      <c r="H180" t="s">
        <v>104</v>
      </c>
      <c r="I180" t="s">
        <v>45</v>
      </c>
      <c r="J180">
        <v>7</v>
      </c>
      <c r="K180">
        <f t="shared" ca="1" si="23"/>
        <v>76</v>
      </c>
      <c r="L180">
        <f t="shared" ca="1" si="24"/>
        <v>-13</v>
      </c>
      <c r="M180">
        <f t="shared" ca="1" si="25"/>
        <v>380</v>
      </c>
      <c r="N180">
        <f t="shared" ca="1" si="25"/>
        <v>359</v>
      </c>
      <c r="O180">
        <f t="shared" ca="1" si="22"/>
        <v>85</v>
      </c>
      <c r="P180">
        <f t="shared" ca="1" si="26"/>
        <v>1132</v>
      </c>
      <c r="Q180">
        <f t="shared" ca="1" si="27"/>
        <v>926</v>
      </c>
      <c r="R180">
        <f t="shared" ca="1" si="28"/>
        <v>201</v>
      </c>
      <c r="S180">
        <f t="shared" ca="1" si="29"/>
        <v>5017</v>
      </c>
      <c r="T180">
        <f t="shared" ca="1" si="30"/>
        <v>9790</v>
      </c>
      <c r="U180">
        <f t="shared" ca="1" si="31"/>
        <v>200</v>
      </c>
      <c r="V180">
        <v>0</v>
      </c>
      <c r="W180">
        <v>0</v>
      </c>
      <c r="X180">
        <f t="shared" ca="1" si="32"/>
        <v>99</v>
      </c>
      <c r="Y180">
        <v>0</v>
      </c>
      <c r="Z180">
        <v>0</v>
      </c>
      <c r="AA180">
        <v>100</v>
      </c>
      <c r="AB180" t="s">
        <v>80</v>
      </c>
      <c r="AC180" t="s">
        <v>82</v>
      </c>
      <c r="AD180">
        <v>1</v>
      </c>
      <c r="AE180">
        <v>52</v>
      </c>
      <c r="AF180">
        <v>265</v>
      </c>
      <c r="AG180" t="s">
        <v>47</v>
      </c>
      <c r="AH180" t="s">
        <v>48</v>
      </c>
      <c r="AI180" t="s">
        <v>49</v>
      </c>
      <c r="AJ180" t="s">
        <v>50</v>
      </c>
      <c r="AK180" t="s">
        <v>51</v>
      </c>
      <c r="AL180">
        <v>3.6726999999999999</v>
      </c>
      <c r="AM180" t="s">
        <v>52</v>
      </c>
      <c r="AN180" t="s">
        <v>93</v>
      </c>
      <c r="AO180" t="s">
        <v>54</v>
      </c>
      <c r="AP180" t="s">
        <v>94</v>
      </c>
      <c r="AQ180" t="s">
        <v>55</v>
      </c>
    </row>
    <row r="181" spans="1:43" x14ac:dyDescent="0.3">
      <c r="A181" t="s">
        <v>43</v>
      </c>
      <c r="B181">
        <v>2020</v>
      </c>
      <c r="C181">
        <v>300</v>
      </c>
      <c r="D181">
        <v>5211</v>
      </c>
      <c r="E181">
        <v>15</v>
      </c>
      <c r="F181">
        <v>202305</v>
      </c>
      <c r="G181">
        <v>3100303</v>
      </c>
      <c r="H181" t="s">
        <v>104</v>
      </c>
      <c r="I181" t="s">
        <v>45</v>
      </c>
      <c r="J181">
        <v>7</v>
      </c>
      <c r="K181">
        <f t="shared" ca="1" si="23"/>
        <v>81</v>
      </c>
      <c r="L181">
        <f t="shared" ca="1" si="24"/>
        <v>-4</v>
      </c>
      <c r="M181">
        <f t="shared" ca="1" si="25"/>
        <v>278</v>
      </c>
      <c r="N181">
        <f t="shared" ca="1" si="25"/>
        <v>290</v>
      </c>
      <c r="O181">
        <f t="shared" ca="1" si="22"/>
        <v>106</v>
      </c>
      <c r="P181">
        <f t="shared" ca="1" si="26"/>
        <v>641</v>
      </c>
      <c r="Q181">
        <f t="shared" ca="1" si="27"/>
        <v>773</v>
      </c>
      <c r="R181">
        <f t="shared" ca="1" si="28"/>
        <v>194</v>
      </c>
      <c r="S181">
        <f t="shared" ca="1" si="29"/>
        <v>3775</v>
      </c>
      <c r="T181">
        <f t="shared" ca="1" si="30"/>
        <v>2929</v>
      </c>
      <c r="U181">
        <f t="shared" ca="1" si="31"/>
        <v>932</v>
      </c>
      <c r="V181">
        <v>0</v>
      </c>
      <c r="W181">
        <v>0</v>
      </c>
      <c r="X181">
        <f t="shared" ca="1" si="32"/>
        <v>-250</v>
      </c>
      <c r="Y181">
        <v>0</v>
      </c>
      <c r="Z181">
        <v>0</v>
      </c>
      <c r="AA181">
        <v>94</v>
      </c>
      <c r="AB181" t="s">
        <v>80</v>
      </c>
      <c r="AC181" t="s">
        <v>83</v>
      </c>
      <c r="AD181">
        <v>1</v>
      </c>
      <c r="AE181">
        <v>52</v>
      </c>
      <c r="AF181">
        <v>265</v>
      </c>
      <c r="AG181" t="s">
        <v>47</v>
      </c>
      <c r="AH181" t="s">
        <v>48</v>
      </c>
      <c r="AI181" t="s">
        <v>49</v>
      </c>
      <c r="AJ181" t="s">
        <v>50</v>
      </c>
      <c r="AK181" t="s">
        <v>51</v>
      </c>
      <c r="AL181">
        <v>3.6726999999999999</v>
      </c>
      <c r="AM181" t="s">
        <v>52</v>
      </c>
      <c r="AN181" t="s">
        <v>93</v>
      </c>
      <c r="AO181" t="s">
        <v>54</v>
      </c>
      <c r="AP181" t="s">
        <v>94</v>
      </c>
      <c r="AQ181" t="s">
        <v>55</v>
      </c>
    </row>
    <row r="182" spans="1:43" x14ac:dyDescent="0.3">
      <c r="A182" t="s">
        <v>43</v>
      </c>
      <c r="B182">
        <v>2020</v>
      </c>
      <c r="C182">
        <v>300</v>
      </c>
      <c r="D182">
        <v>5211</v>
      </c>
      <c r="E182">
        <v>15</v>
      </c>
      <c r="F182">
        <v>202305</v>
      </c>
      <c r="G182">
        <v>3100412</v>
      </c>
      <c r="H182" t="s">
        <v>104</v>
      </c>
      <c r="I182" t="s">
        <v>45</v>
      </c>
      <c r="J182">
        <v>7</v>
      </c>
      <c r="K182">
        <f t="shared" ca="1" si="23"/>
        <v>28</v>
      </c>
      <c r="L182">
        <f t="shared" ca="1" si="24"/>
        <v>-43</v>
      </c>
      <c r="M182">
        <f t="shared" ca="1" si="25"/>
        <v>321</v>
      </c>
      <c r="N182">
        <f t="shared" ca="1" si="25"/>
        <v>185</v>
      </c>
      <c r="O182">
        <f t="shared" ca="1" si="22"/>
        <v>423</v>
      </c>
      <c r="P182">
        <f t="shared" ca="1" si="26"/>
        <v>-454</v>
      </c>
      <c r="Q182">
        <f t="shared" ca="1" si="27"/>
        <v>149</v>
      </c>
      <c r="R182">
        <f t="shared" ca="1" si="28"/>
        <v>423</v>
      </c>
      <c r="S182">
        <f t="shared" ca="1" si="29"/>
        <v>7896</v>
      </c>
      <c r="T182">
        <f t="shared" ca="1" si="30"/>
        <v>4054</v>
      </c>
      <c r="U182">
        <f t="shared" ca="1" si="31"/>
        <v>897</v>
      </c>
      <c r="V182">
        <v>0</v>
      </c>
      <c r="W182">
        <v>0</v>
      </c>
      <c r="X182">
        <f t="shared" ca="1" si="32"/>
        <v>-142</v>
      </c>
      <c r="Y182">
        <v>0</v>
      </c>
      <c r="Z182">
        <v>0</v>
      </c>
      <c r="AA182">
        <v>92</v>
      </c>
      <c r="AB182" t="s">
        <v>80</v>
      </c>
      <c r="AC182" t="s">
        <v>107</v>
      </c>
      <c r="AD182">
        <v>1</v>
      </c>
      <c r="AE182">
        <v>52</v>
      </c>
      <c r="AF182">
        <v>265</v>
      </c>
      <c r="AG182" t="s">
        <v>47</v>
      </c>
      <c r="AH182" t="s">
        <v>48</v>
      </c>
      <c r="AI182" t="s">
        <v>49</v>
      </c>
      <c r="AJ182" t="s">
        <v>50</v>
      </c>
      <c r="AK182" t="s">
        <v>51</v>
      </c>
      <c r="AL182">
        <v>3.6726999999999999</v>
      </c>
      <c r="AM182" t="s">
        <v>52</v>
      </c>
      <c r="AN182" t="s">
        <v>93</v>
      </c>
      <c r="AO182" t="s">
        <v>54</v>
      </c>
      <c r="AP182" t="s">
        <v>94</v>
      </c>
      <c r="AQ182" t="s">
        <v>55</v>
      </c>
    </row>
    <row r="183" spans="1:43" x14ac:dyDescent="0.3">
      <c r="A183" t="s">
        <v>43</v>
      </c>
      <c r="B183">
        <v>2020</v>
      </c>
      <c r="C183">
        <v>300</v>
      </c>
      <c r="D183">
        <v>5211</v>
      </c>
      <c r="E183">
        <v>15</v>
      </c>
      <c r="F183">
        <v>202305</v>
      </c>
      <c r="G183">
        <v>3100413</v>
      </c>
      <c r="H183" t="s">
        <v>104</v>
      </c>
      <c r="I183" t="s">
        <v>45</v>
      </c>
      <c r="J183">
        <v>7</v>
      </c>
      <c r="K183">
        <f t="shared" ca="1" si="23"/>
        <v>98</v>
      </c>
      <c r="L183">
        <f t="shared" ca="1" si="24"/>
        <v>-45</v>
      </c>
      <c r="M183">
        <f t="shared" ca="1" si="25"/>
        <v>202</v>
      </c>
      <c r="N183">
        <f t="shared" ca="1" si="25"/>
        <v>42</v>
      </c>
      <c r="O183">
        <f t="shared" ca="1" si="22"/>
        <v>659</v>
      </c>
      <c r="P183">
        <f t="shared" ca="1" si="26"/>
        <v>-421</v>
      </c>
      <c r="Q183">
        <f t="shared" ca="1" si="27"/>
        <v>856</v>
      </c>
      <c r="R183">
        <f t="shared" ca="1" si="28"/>
        <v>321</v>
      </c>
      <c r="S183">
        <f t="shared" ca="1" si="29"/>
        <v>14159</v>
      </c>
      <c r="T183">
        <f t="shared" ca="1" si="30"/>
        <v>6355</v>
      </c>
      <c r="U183">
        <f t="shared" ca="1" si="31"/>
        <v>1071</v>
      </c>
      <c r="V183">
        <v>0</v>
      </c>
      <c r="W183">
        <v>0</v>
      </c>
      <c r="X183">
        <f t="shared" ca="1" si="32"/>
        <v>32</v>
      </c>
      <c r="Y183">
        <v>0</v>
      </c>
      <c r="Z183">
        <v>0</v>
      </c>
      <c r="AA183">
        <v>100</v>
      </c>
      <c r="AB183" t="s">
        <v>80</v>
      </c>
      <c r="AC183" t="s">
        <v>108</v>
      </c>
      <c r="AD183">
        <v>1</v>
      </c>
      <c r="AE183">
        <v>52</v>
      </c>
      <c r="AF183">
        <v>265</v>
      </c>
      <c r="AG183" t="s">
        <v>47</v>
      </c>
      <c r="AH183" t="s">
        <v>48</v>
      </c>
      <c r="AI183" t="s">
        <v>49</v>
      </c>
      <c r="AJ183" t="s">
        <v>50</v>
      </c>
      <c r="AK183" t="s">
        <v>51</v>
      </c>
      <c r="AL183">
        <v>3.6726999999999999</v>
      </c>
      <c r="AM183" t="s">
        <v>52</v>
      </c>
      <c r="AN183" t="s">
        <v>93</v>
      </c>
      <c r="AO183" t="s">
        <v>54</v>
      </c>
      <c r="AP183" t="s">
        <v>94</v>
      </c>
      <c r="AQ183" t="s">
        <v>55</v>
      </c>
    </row>
    <row r="184" spans="1:43" x14ac:dyDescent="0.3">
      <c r="A184" t="s">
        <v>43</v>
      </c>
      <c r="B184">
        <v>2020</v>
      </c>
      <c r="C184">
        <v>300</v>
      </c>
      <c r="D184">
        <v>5211</v>
      </c>
      <c r="E184">
        <v>15</v>
      </c>
      <c r="F184">
        <v>202305</v>
      </c>
      <c r="G184">
        <v>3100414</v>
      </c>
      <c r="H184" t="s">
        <v>104</v>
      </c>
      <c r="I184" t="s">
        <v>45</v>
      </c>
      <c r="J184">
        <v>7</v>
      </c>
      <c r="K184">
        <f t="shared" ca="1" si="23"/>
        <v>59</v>
      </c>
      <c r="L184">
        <f t="shared" ca="1" si="24"/>
        <v>-34</v>
      </c>
      <c r="M184">
        <f t="shared" ca="1" si="25"/>
        <v>436</v>
      </c>
      <c r="N184">
        <f t="shared" ca="1" si="25"/>
        <v>52</v>
      </c>
      <c r="O184">
        <f t="shared" ca="1" si="22"/>
        <v>930</v>
      </c>
      <c r="P184">
        <f t="shared" ca="1" si="26"/>
        <v>124</v>
      </c>
      <c r="Q184">
        <f t="shared" ca="1" si="27"/>
        <v>1174</v>
      </c>
      <c r="R184">
        <f t="shared" ca="1" si="28"/>
        <v>135</v>
      </c>
      <c r="S184">
        <f t="shared" ca="1" si="29"/>
        <v>4758</v>
      </c>
      <c r="T184">
        <f t="shared" ca="1" si="30"/>
        <v>5143</v>
      </c>
      <c r="U184">
        <f t="shared" ca="1" si="31"/>
        <v>324</v>
      </c>
      <c r="V184">
        <v>0</v>
      </c>
      <c r="W184">
        <v>0</v>
      </c>
      <c r="X184">
        <f t="shared" ca="1" si="32"/>
        <v>-352</v>
      </c>
      <c r="Y184">
        <v>0</v>
      </c>
      <c r="Z184">
        <v>0</v>
      </c>
      <c r="AA184">
        <v>100</v>
      </c>
      <c r="AB184" t="s">
        <v>80</v>
      </c>
      <c r="AC184" t="s">
        <v>109</v>
      </c>
      <c r="AD184">
        <v>1</v>
      </c>
      <c r="AE184">
        <v>52</v>
      </c>
      <c r="AF184">
        <v>265</v>
      </c>
      <c r="AG184" t="s">
        <v>47</v>
      </c>
      <c r="AH184" t="s">
        <v>48</v>
      </c>
      <c r="AI184" t="s">
        <v>49</v>
      </c>
      <c r="AJ184" t="s">
        <v>50</v>
      </c>
      <c r="AK184" t="s">
        <v>51</v>
      </c>
      <c r="AL184">
        <v>3.6726999999999999</v>
      </c>
      <c r="AM184" t="s">
        <v>52</v>
      </c>
      <c r="AN184" t="s">
        <v>93</v>
      </c>
      <c r="AO184" t="s">
        <v>54</v>
      </c>
      <c r="AP184" t="s">
        <v>94</v>
      </c>
      <c r="AQ184" t="s">
        <v>55</v>
      </c>
    </row>
    <row r="185" spans="1:43" x14ac:dyDescent="0.3">
      <c r="A185" t="s">
        <v>43</v>
      </c>
      <c r="B185">
        <v>2020</v>
      </c>
      <c r="C185">
        <v>300</v>
      </c>
      <c r="D185">
        <v>5211</v>
      </c>
      <c r="E185">
        <v>15</v>
      </c>
      <c r="F185">
        <v>202305</v>
      </c>
      <c r="G185">
        <v>3300348</v>
      </c>
      <c r="H185" t="s">
        <v>104</v>
      </c>
      <c r="I185" t="s">
        <v>45</v>
      </c>
      <c r="J185">
        <v>7</v>
      </c>
      <c r="K185">
        <f t="shared" ca="1" si="23"/>
        <v>92</v>
      </c>
      <c r="L185">
        <f t="shared" ca="1" si="24"/>
        <v>21</v>
      </c>
      <c r="M185">
        <f t="shared" ca="1" si="25"/>
        <v>-46</v>
      </c>
      <c r="N185">
        <f t="shared" ca="1" si="25"/>
        <v>-74</v>
      </c>
      <c r="O185">
        <f t="shared" ca="1" si="22"/>
        <v>355</v>
      </c>
      <c r="P185">
        <f t="shared" ca="1" si="26"/>
        <v>444</v>
      </c>
      <c r="Q185">
        <f t="shared" ca="1" si="27"/>
        <v>378</v>
      </c>
      <c r="R185">
        <f t="shared" ca="1" si="28"/>
        <v>91</v>
      </c>
      <c r="S185">
        <f t="shared" ca="1" si="29"/>
        <v>167</v>
      </c>
      <c r="T185">
        <f t="shared" ca="1" si="30"/>
        <v>2039</v>
      </c>
      <c r="U185">
        <f t="shared" ca="1" si="31"/>
        <v>122</v>
      </c>
      <c r="V185">
        <v>0</v>
      </c>
      <c r="W185">
        <v>0</v>
      </c>
      <c r="X185">
        <f t="shared" ca="1" si="32"/>
        <v>-396</v>
      </c>
      <c r="Y185">
        <v>0</v>
      </c>
      <c r="Z185">
        <v>0</v>
      </c>
      <c r="AA185">
        <v>100</v>
      </c>
      <c r="AB185" t="s">
        <v>91</v>
      </c>
      <c r="AC185" t="s">
        <v>204</v>
      </c>
      <c r="AD185">
        <v>1</v>
      </c>
      <c r="AE185">
        <v>52</v>
      </c>
      <c r="AF185">
        <v>265</v>
      </c>
      <c r="AG185" t="s">
        <v>47</v>
      </c>
      <c r="AH185" t="s">
        <v>48</v>
      </c>
      <c r="AI185" t="s">
        <v>49</v>
      </c>
      <c r="AJ185" t="s">
        <v>50</v>
      </c>
      <c r="AK185" t="s">
        <v>51</v>
      </c>
      <c r="AL185">
        <v>3.6726999999999999</v>
      </c>
      <c r="AM185" t="s">
        <v>52</v>
      </c>
      <c r="AN185" t="s">
        <v>93</v>
      </c>
      <c r="AO185" t="s">
        <v>54</v>
      </c>
      <c r="AP185" t="s">
        <v>94</v>
      </c>
      <c r="AQ185" t="s">
        <v>55</v>
      </c>
    </row>
    <row r="186" spans="1:43" x14ac:dyDescent="0.3">
      <c r="A186" t="s">
        <v>43</v>
      </c>
      <c r="B186">
        <v>2020</v>
      </c>
      <c r="C186">
        <v>300</v>
      </c>
      <c r="D186">
        <v>5211</v>
      </c>
      <c r="E186">
        <v>30</v>
      </c>
      <c r="F186">
        <v>202305</v>
      </c>
      <c r="G186">
        <v>3100302</v>
      </c>
      <c r="H186" t="s">
        <v>81</v>
      </c>
      <c r="I186" t="s">
        <v>45</v>
      </c>
      <c r="J186">
        <v>7</v>
      </c>
      <c r="K186">
        <f t="shared" ca="1" si="23"/>
        <v>1</v>
      </c>
      <c r="L186">
        <f t="shared" ca="1" si="24"/>
        <v>0</v>
      </c>
      <c r="M186">
        <f t="shared" ca="1" si="25"/>
        <v>363</v>
      </c>
      <c r="N186">
        <f t="shared" ca="1" si="25"/>
        <v>-90</v>
      </c>
      <c r="O186">
        <f t="shared" ca="1" si="22"/>
        <v>776</v>
      </c>
      <c r="P186">
        <f t="shared" ca="1" si="26"/>
        <v>457</v>
      </c>
      <c r="Q186">
        <f t="shared" ca="1" si="27"/>
        <v>788</v>
      </c>
      <c r="R186">
        <f t="shared" ca="1" si="28"/>
        <v>220</v>
      </c>
      <c r="S186">
        <f t="shared" ca="1" si="29"/>
        <v>6962</v>
      </c>
      <c r="T186">
        <f t="shared" ca="1" si="30"/>
        <v>8789</v>
      </c>
      <c r="U186">
        <f t="shared" ca="1" si="31"/>
        <v>1013</v>
      </c>
      <c r="V186">
        <v>0</v>
      </c>
      <c r="W186">
        <v>0</v>
      </c>
      <c r="X186">
        <f t="shared" ca="1" si="32"/>
        <v>-348</v>
      </c>
      <c r="Y186">
        <v>0</v>
      </c>
      <c r="Z186">
        <v>0</v>
      </c>
      <c r="AA186">
        <v>93</v>
      </c>
      <c r="AB186" t="s">
        <v>80</v>
      </c>
      <c r="AC186" t="s">
        <v>82</v>
      </c>
      <c r="AD186">
        <v>1</v>
      </c>
      <c r="AE186">
        <v>52</v>
      </c>
      <c r="AF186">
        <v>265</v>
      </c>
      <c r="AG186" t="s">
        <v>47</v>
      </c>
      <c r="AH186" t="s">
        <v>48</v>
      </c>
      <c r="AI186" t="s">
        <v>49</v>
      </c>
      <c r="AJ186" t="s">
        <v>50</v>
      </c>
      <c r="AK186" t="s">
        <v>51</v>
      </c>
      <c r="AL186">
        <v>3.6726999999999999</v>
      </c>
      <c r="AM186" t="s">
        <v>52</v>
      </c>
      <c r="AN186" t="s">
        <v>93</v>
      </c>
      <c r="AO186" t="s">
        <v>50</v>
      </c>
      <c r="AP186" t="s">
        <v>94</v>
      </c>
      <c r="AQ186" t="s">
        <v>55</v>
      </c>
    </row>
    <row r="187" spans="1:43" x14ac:dyDescent="0.3">
      <c r="A187" t="s">
        <v>43</v>
      </c>
      <c r="B187">
        <v>2020</v>
      </c>
      <c r="C187">
        <v>300</v>
      </c>
      <c r="D187">
        <v>5211</v>
      </c>
      <c r="E187">
        <v>30</v>
      </c>
      <c r="F187">
        <v>202305</v>
      </c>
      <c r="G187">
        <v>3100303</v>
      </c>
      <c r="H187" t="s">
        <v>81</v>
      </c>
      <c r="I187" t="s">
        <v>45</v>
      </c>
      <c r="J187">
        <v>7</v>
      </c>
      <c r="K187">
        <f t="shared" ca="1" si="23"/>
        <v>89</v>
      </c>
      <c r="L187">
        <f t="shared" ca="1" si="24"/>
        <v>-50</v>
      </c>
      <c r="M187">
        <f t="shared" ca="1" si="25"/>
        <v>-10</v>
      </c>
      <c r="N187">
        <f t="shared" ca="1" si="25"/>
        <v>248</v>
      </c>
      <c r="O187">
        <f t="shared" ca="1" si="22"/>
        <v>129</v>
      </c>
      <c r="P187">
        <f t="shared" ca="1" si="26"/>
        <v>90</v>
      </c>
      <c r="Q187">
        <f t="shared" ca="1" si="27"/>
        <v>415</v>
      </c>
      <c r="R187">
        <f t="shared" ca="1" si="28"/>
        <v>113</v>
      </c>
      <c r="S187">
        <f t="shared" ca="1" si="29"/>
        <v>5920</v>
      </c>
      <c r="T187">
        <f t="shared" ca="1" si="30"/>
        <v>9999</v>
      </c>
      <c r="U187">
        <f t="shared" ca="1" si="31"/>
        <v>799</v>
      </c>
      <c r="V187">
        <v>0</v>
      </c>
      <c r="W187">
        <v>0</v>
      </c>
      <c r="X187">
        <f t="shared" ca="1" si="32"/>
        <v>-12</v>
      </c>
      <c r="Y187">
        <v>0</v>
      </c>
      <c r="Z187">
        <v>1007</v>
      </c>
      <c r="AA187">
        <v>100</v>
      </c>
      <c r="AB187" t="s">
        <v>80</v>
      </c>
      <c r="AC187" t="s">
        <v>83</v>
      </c>
      <c r="AD187">
        <v>1</v>
      </c>
      <c r="AE187">
        <v>52</v>
      </c>
      <c r="AF187">
        <v>265</v>
      </c>
      <c r="AG187" t="s">
        <v>47</v>
      </c>
      <c r="AH187" t="s">
        <v>48</v>
      </c>
      <c r="AI187" t="s">
        <v>49</v>
      </c>
      <c r="AJ187" t="s">
        <v>50</v>
      </c>
      <c r="AK187" t="s">
        <v>51</v>
      </c>
      <c r="AL187">
        <v>3.6726999999999999</v>
      </c>
      <c r="AM187" t="s">
        <v>52</v>
      </c>
      <c r="AN187" t="s">
        <v>93</v>
      </c>
      <c r="AO187" t="s">
        <v>50</v>
      </c>
      <c r="AP187" t="s">
        <v>94</v>
      </c>
      <c r="AQ187" t="s">
        <v>55</v>
      </c>
    </row>
    <row r="188" spans="1:43" x14ac:dyDescent="0.3">
      <c r="A188" t="s">
        <v>43</v>
      </c>
      <c r="B188">
        <v>2020</v>
      </c>
      <c r="C188">
        <v>300</v>
      </c>
      <c r="D188">
        <v>5211</v>
      </c>
      <c r="E188">
        <v>30</v>
      </c>
      <c r="F188">
        <v>202305</v>
      </c>
      <c r="G188">
        <v>3100305</v>
      </c>
      <c r="H188" t="s">
        <v>81</v>
      </c>
      <c r="I188" t="s">
        <v>45</v>
      </c>
      <c r="J188">
        <v>7</v>
      </c>
      <c r="K188">
        <f t="shared" ca="1" si="23"/>
        <v>43</v>
      </c>
      <c r="L188">
        <f t="shared" ca="1" si="24"/>
        <v>-11</v>
      </c>
      <c r="M188">
        <f t="shared" ca="1" si="25"/>
        <v>381</v>
      </c>
      <c r="N188">
        <f t="shared" ca="1" si="25"/>
        <v>227</v>
      </c>
      <c r="O188">
        <f t="shared" ca="1" si="22"/>
        <v>104</v>
      </c>
      <c r="P188">
        <f t="shared" ca="1" si="26"/>
        <v>1380</v>
      </c>
      <c r="Q188">
        <f t="shared" ca="1" si="27"/>
        <v>576</v>
      </c>
      <c r="R188">
        <f t="shared" ca="1" si="28"/>
        <v>423</v>
      </c>
      <c r="S188">
        <f t="shared" ca="1" si="29"/>
        <v>14509</v>
      </c>
      <c r="T188">
        <f t="shared" ca="1" si="30"/>
        <v>5419</v>
      </c>
      <c r="U188">
        <f t="shared" ca="1" si="31"/>
        <v>482</v>
      </c>
      <c r="V188">
        <v>0</v>
      </c>
      <c r="W188">
        <v>0</v>
      </c>
      <c r="X188">
        <f t="shared" ca="1" si="32"/>
        <v>-484</v>
      </c>
      <c r="Y188">
        <v>0</v>
      </c>
      <c r="Z188">
        <v>9</v>
      </c>
      <c r="AA188">
        <v>100</v>
      </c>
      <c r="AB188" t="s">
        <v>80</v>
      </c>
      <c r="AC188" t="s">
        <v>85</v>
      </c>
      <c r="AD188">
        <v>1</v>
      </c>
      <c r="AE188">
        <v>52</v>
      </c>
      <c r="AF188">
        <v>265</v>
      </c>
      <c r="AG188" t="s">
        <v>47</v>
      </c>
      <c r="AH188" t="s">
        <v>48</v>
      </c>
      <c r="AI188" t="s">
        <v>49</v>
      </c>
      <c r="AJ188" t="s">
        <v>50</v>
      </c>
      <c r="AK188" t="s">
        <v>51</v>
      </c>
      <c r="AL188">
        <v>3.6726999999999999</v>
      </c>
      <c r="AM188" t="s">
        <v>52</v>
      </c>
      <c r="AN188" t="s">
        <v>93</v>
      </c>
      <c r="AO188" t="s">
        <v>50</v>
      </c>
      <c r="AP188" t="s">
        <v>94</v>
      </c>
      <c r="AQ188" t="s">
        <v>55</v>
      </c>
    </row>
    <row r="189" spans="1:43" x14ac:dyDescent="0.3">
      <c r="A189" t="s">
        <v>43</v>
      </c>
      <c r="B189">
        <v>2020</v>
      </c>
      <c r="C189">
        <v>300</v>
      </c>
      <c r="D189">
        <v>5211</v>
      </c>
      <c r="E189">
        <v>30</v>
      </c>
      <c r="F189">
        <v>202305</v>
      </c>
      <c r="G189">
        <v>3100307</v>
      </c>
      <c r="H189" t="s">
        <v>81</v>
      </c>
      <c r="I189" t="s">
        <v>45</v>
      </c>
      <c r="J189">
        <v>7</v>
      </c>
      <c r="K189">
        <f t="shared" ca="1" si="23"/>
        <v>23</v>
      </c>
      <c r="L189">
        <f t="shared" ca="1" si="24"/>
        <v>17</v>
      </c>
      <c r="M189">
        <f t="shared" ca="1" si="25"/>
        <v>25</v>
      </c>
      <c r="N189">
        <f t="shared" ca="1" si="25"/>
        <v>318</v>
      </c>
      <c r="O189">
        <f t="shared" ca="1" si="22"/>
        <v>521</v>
      </c>
      <c r="P189">
        <f t="shared" ca="1" si="26"/>
        <v>1480</v>
      </c>
      <c r="Q189">
        <f t="shared" ca="1" si="27"/>
        <v>1046</v>
      </c>
      <c r="R189">
        <f t="shared" ca="1" si="28"/>
        <v>340</v>
      </c>
      <c r="S189">
        <f t="shared" ca="1" si="29"/>
        <v>12432</v>
      </c>
      <c r="T189">
        <f t="shared" ca="1" si="30"/>
        <v>3293</v>
      </c>
      <c r="U189">
        <f t="shared" ca="1" si="31"/>
        <v>3</v>
      </c>
      <c r="V189">
        <v>0</v>
      </c>
      <c r="W189">
        <v>0</v>
      </c>
      <c r="X189">
        <f t="shared" ca="1" si="32"/>
        <v>-85</v>
      </c>
      <c r="Y189">
        <v>0</v>
      </c>
      <c r="Z189">
        <v>0</v>
      </c>
      <c r="AA189">
        <v>100</v>
      </c>
      <c r="AB189" t="s">
        <v>80</v>
      </c>
      <c r="AC189" t="s">
        <v>205</v>
      </c>
      <c r="AD189">
        <v>1</v>
      </c>
      <c r="AE189">
        <v>52</v>
      </c>
      <c r="AF189">
        <v>265</v>
      </c>
      <c r="AG189" t="s">
        <v>47</v>
      </c>
      <c r="AH189" t="s">
        <v>48</v>
      </c>
      <c r="AI189" t="s">
        <v>49</v>
      </c>
      <c r="AJ189" t="s">
        <v>50</v>
      </c>
      <c r="AK189" t="s">
        <v>51</v>
      </c>
      <c r="AL189">
        <v>3.6726999999999999</v>
      </c>
      <c r="AM189" t="s">
        <v>52</v>
      </c>
      <c r="AN189" t="s">
        <v>93</v>
      </c>
      <c r="AO189" t="s">
        <v>50</v>
      </c>
      <c r="AP189" t="s">
        <v>94</v>
      </c>
      <c r="AQ189" t="s">
        <v>55</v>
      </c>
    </row>
    <row r="190" spans="1:43" x14ac:dyDescent="0.3">
      <c r="A190" t="s">
        <v>43</v>
      </c>
      <c r="B190">
        <v>2020</v>
      </c>
      <c r="C190">
        <v>300</v>
      </c>
      <c r="D190">
        <v>5211</v>
      </c>
      <c r="E190">
        <v>30</v>
      </c>
      <c r="F190">
        <v>202305</v>
      </c>
      <c r="G190">
        <v>3100313</v>
      </c>
      <c r="H190" t="s">
        <v>81</v>
      </c>
      <c r="I190" t="s">
        <v>45</v>
      </c>
      <c r="J190">
        <v>7</v>
      </c>
      <c r="K190">
        <f t="shared" ca="1" si="23"/>
        <v>86</v>
      </c>
      <c r="L190">
        <f t="shared" ca="1" si="24"/>
        <v>-36</v>
      </c>
      <c r="M190">
        <f t="shared" ca="1" si="25"/>
        <v>210</v>
      </c>
      <c r="N190">
        <f t="shared" ca="1" si="25"/>
        <v>436</v>
      </c>
      <c r="O190">
        <f t="shared" ca="1" si="22"/>
        <v>518</v>
      </c>
      <c r="P190">
        <f t="shared" ca="1" si="26"/>
        <v>-384</v>
      </c>
      <c r="Q190">
        <f t="shared" ca="1" si="27"/>
        <v>277</v>
      </c>
      <c r="R190">
        <f t="shared" ca="1" si="28"/>
        <v>265</v>
      </c>
      <c r="S190">
        <f t="shared" ca="1" si="29"/>
        <v>12367</v>
      </c>
      <c r="T190">
        <f t="shared" ca="1" si="30"/>
        <v>4802</v>
      </c>
      <c r="U190">
        <f t="shared" ca="1" si="31"/>
        <v>937</v>
      </c>
      <c r="V190">
        <v>0</v>
      </c>
      <c r="W190">
        <v>0</v>
      </c>
      <c r="X190">
        <f t="shared" ca="1" si="32"/>
        <v>-44</v>
      </c>
      <c r="Y190">
        <v>0</v>
      </c>
      <c r="Z190">
        <v>0</v>
      </c>
      <c r="AA190">
        <v>100</v>
      </c>
      <c r="AB190" t="s">
        <v>80</v>
      </c>
      <c r="AC190" t="s">
        <v>86</v>
      </c>
      <c r="AD190">
        <v>1</v>
      </c>
      <c r="AE190">
        <v>52</v>
      </c>
      <c r="AF190">
        <v>265</v>
      </c>
      <c r="AG190" t="s">
        <v>47</v>
      </c>
      <c r="AH190" t="s">
        <v>48</v>
      </c>
      <c r="AI190" t="s">
        <v>49</v>
      </c>
      <c r="AJ190" t="s">
        <v>50</v>
      </c>
      <c r="AK190" t="s">
        <v>51</v>
      </c>
      <c r="AL190">
        <v>3.6726999999999999</v>
      </c>
      <c r="AM190" t="s">
        <v>52</v>
      </c>
      <c r="AN190" t="s">
        <v>93</v>
      </c>
      <c r="AO190" t="s">
        <v>50</v>
      </c>
      <c r="AP190" t="s">
        <v>94</v>
      </c>
      <c r="AQ190" t="s">
        <v>55</v>
      </c>
    </row>
    <row r="191" spans="1:43" x14ac:dyDescent="0.3">
      <c r="A191" t="s">
        <v>43</v>
      </c>
      <c r="B191">
        <v>2020</v>
      </c>
      <c r="C191">
        <v>300</v>
      </c>
      <c r="D191">
        <v>5211</v>
      </c>
      <c r="E191">
        <v>30</v>
      </c>
      <c r="F191">
        <v>202305</v>
      </c>
      <c r="G191">
        <v>3100314</v>
      </c>
      <c r="H191" t="s">
        <v>81</v>
      </c>
      <c r="I191" t="s">
        <v>45</v>
      </c>
      <c r="J191">
        <v>7</v>
      </c>
      <c r="K191">
        <f t="shared" ca="1" si="23"/>
        <v>52</v>
      </c>
      <c r="L191">
        <f t="shared" ca="1" si="24"/>
        <v>-95</v>
      </c>
      <c r="M191">
        <f t="shared" ca="1" si="25"/>
        <v>429</v>
      </c>
      <c r="N191">
        <f t="shared" ca="1" si="25"/>
        <v>-99</v>
      </c>
      <c r="O191">
        <f t="shared" ca="1" si="22"/>
        <v>919</v>
      </c>
      <c r="P191">
        <f t="shared" ca="1" si="26"/>
        <v>1058</v>
      </c>
      <c r="Q191">
        <f t="shared" ca="1" si="27"/>
        <v>389</v>
      </c>
      <c r="R191">
        <f t="shared" ca="1" si="28"/>
        <v>340</v>
      </c>
      <c r="S191">
        <f t="shared" ca="1" si="29"/>
        <v>4870</v>
      </c>
      <c r="T191">
        <f t="shared" ca="1" si="30"/>
        <v>7309</v>
      </c>
      <c r="U191">
        <f t="shared" ca="1" si="31"/>
        <v>1143</v>
      </c>
      <c r="V191">
        <v>0</v>
      </c>
      <c r="W191">
        <v>0</v>
      </c>
      <c r="X191">
        <f t="shared" ca="1" si="32"/>
        <v>-339</v>
      </c>
      <c r="Y191">
        <v>0</v>
      </c>
      <c r="Z191">
        <v>0</v>
      </c>
      <c r="AA191">
        <v>0</v>
      </c>
      <c r="AB191" t="s">
        <v>80</v>
      </c>
      <c r="AC191" t="s">
        <v>206</v>
      </c>
      <c r="AD191">
        <v>1</v>
      </c>
      <c r="AE191">
        <v>52</v>
      </c>
      <c r="AF191">
        <v>265</v>
      </c>
      <c r="AG191" t="s">
        <v>47</v>
      </c>
      <c r="AH191" t="s">
        <v>48</v>
      </c>
      <c r="AI191" t="s">
        <v>49</v>
      </c>
      <c r="AJ191" t="s">
        <v>50</v>
      </c>
      <c r="AK191" t="s">
        <v>51</v>
      </c>
      <c r="AL191">
        <v>3.6726999999999999</v>
      </c>
      <c r="AM191" t="s">
        <v>52</v>
      </c>
      <c r="AN191" t="s">
        <v>93</v>
      </c>
      <c r="AO191" t="s">
        <v>50</v>
      </c>
      <c r="AP191" t="s">
        <v>94</v>
      </c>
      <c r="AQ191" t="s">
        <v>55</v>
      </c>
    </row>
    <row r="192" spans="1:43" x14ac:dyDescent="0.3">
      <c r="A192" t="s">
        <v>43</v>
      </c>
      <c r="B192">
        <v>2020</v>
      </c>
      <c r="C192">
        <v>300</v>
      </c>
      <c r="D192">
        <v>5211</v>
      </c>
      <c r="E192">
        <v>30</v>
      </c>
      <c r="F192">
        <v>202305</v>
      </c>
      <c r="G192">
        <v>3100323</v>
      </c>
      <c r="H192" t="s">
        <v>81</v>
      </c>
      <c r="I192" t="s">
        <v>45</v>
      </c>
      <c r="J192">
        <v>7</v>
      </c>
      <c r="K192">
        <f t="shared" ca="1" si="23"/>
        <v>93</v>
      </c>
      <c r="L192">
        <f t="shared" ca="1" si="24"/>
        <v>6</v>
      </c>
      <c r="M192">
        <f t="shared" ca="1" si="25"/>
        <v>470</v>
      </c>
      <c r="N192">
        <f t="shared" ca="1" si="25"/>
        <v>148</v>
      </c>
      <c r="O192">
        <f t="shared" ca="1" si="22"/>
        <v>827</v>
      </c>
      <c r="P192">
        <f t="shared" ca="1" si="26"/>
        <v>648</v>
      </c>
      <c r="Q192">
        <f t="shared" ca="1" si="27"/>
        <v>965</v>
      </c>
      <c r="R192">
        <f t="shared" ca="1" si="28"/>
        <v>407</v>
      </c>
      <c r="S192">
        <f t="shared" ca="1" si="29"/>
        <v>8811</v>
      </c>
      <c r="T192">
        <f t="shared" ca="1" si="30"/>
        <v>995</v>
      </c>
      <c r="U192">
        <f t="shared" ca="1" si="31"/>
        <v>347</v>
      </c>
      <c r="V192">
        <v>0</v>
      </c>
      <c r="W192">
        <v>0</v>
      </c>
      <c r="X192">
        <f t="shared" ca="1" si="32"/>
        <v>-268</v>
      </c>
      <c r="Y192">
        <v>0</v>
      </c>
      <c r="Z192">
        <v>0</v>
      </c>
      <c r="AA192">
        <v>0</v>
      </c>
      <c r="AB192" t="s">
        <v>80</v>
      </c>
      <c r="AC192" t="s">
        <v>207</v>
      </c>
      <c r="AD192">
        <v>1</v>
      </c>
      <c r="AE192">
        <v>52</v>
      </c>
      <c r="AF192">
        <v>265</v>
      </c>
      <c r="AG192" t="s">
        <v>47</v>
      </c>
      <c r="AH192" t="s">
        <v>48</v>
      </c>
      <c r="AI192" t="s">
        <v>49</v>
      </c>
      <c r="AJ192" t="s">
        <v>50</v>
      </c>
      <c r="AK192" t="s">
        <v>51</v>
      </c>
      <c r="AL192">
        <v>3.6726999999999999</v>
      </c>
      <c r="AM192" t="s">
        <v>52</v>
      </c>
      <c r="AN192" t="s">
        <v>93</v>
      </c>
      <c r="AO192" t="s">
        <v>50</v>
      </c>
      <c r="AP192" t="s">
        <v>94</v>
      </c>
      <c r="AQ192" t="s">
        <v>55</v>
      </c>
    </row>
    <row r="193" spans="1:43" x14ac:dyDescent="0.3">
      <c r="A193" t="s">
        <v>43</v>
      </c>
      <c r="B193">
        <v>2020</v>
      </c>
      <c r="C193">
        <v>300</v>
      </c>
      <c r="D193">
        <v>5211</v>
      </c>
      <c r="E193">
        <v>30</v>
      </c>
      <c r="F193">
        <v>202305</v>
      </c>
      <c r="G193">
        <v>3100326</v>
      </c>
      <c r="H193" t="s">
        <v>81</v>
      </c>
      <c r="I193" t="s">
        <v>45</v>
      </c>
      <c r="J193">
        <v>7</v>
      </c>
      <c r="K193">
        <f t="shared" ca="1" si="23"/>
        <v>76</v>
      </c>
      <c r="L193">
        <f t="shared" ca="1" si="24"/>
        <v>10</v>
      </c>
      <c r="M193">
        <f t="shared" ca="1" si="25"/>
        <v>58</v>
      </c>
      <c r="N193">
        <f t="shared" ca="1" si="25"/>
        <v>358</v>
      </c>
      <c r="O193">
        <f t="shared" ca="1" si="22"/>
        <v>214</v>
      </c>
      <c r="P193">
        <f t="shared" ca="1" si="26"/>
        <v>1118</v>
      </c>
      <c r="Q193">
        <f t="shared" ca="1" si="27"/>
        <v>189</v>
      </c>
      <c r="R193">
        <f t="shared" ca="1" si="28"/>
        <v>119</v>
      </c>
      <c r="S193">
        <f t="shared" ca="1" si="29"/>
        <v>3415</v>
      </c>
      <c r="T193">
        <f t="shared" ca="1" si="30"/>
        <v>6794</v>
      </c>
      <c r="U193">
        <f t="shared" ca="1" si="31"/>
        <v>460</v>
      </c>
      <c r="V193">
        <v>0</v>
      </c>
      <c r="W193">
        <v>0</v>
      </c>
      <c r="X193">
        <f t="shared" ca="1" si="32"/>
        <v>-271</v>
      </c>
      <c r="Y193">
        <v>0</v>
      </c>
      <c r="Z193">
        <v>0</v>
      </c>
      <c r="AA193">
        <v>71</v>
      </c>
      <c r="AB193" t="s">
        <v>80</v>
      </c>
      <c r="AC193" t="s">
        <v>111</v>
      </c>
      <c r="AD193">
        <v>1</v>
      </c>
      <c r="AE193">
        <v>52</v>
      </c>
      <c r="AF193">
        <v>265</v>
      </c>
      <c r="AG193" t="s">
        <v>47</v>
      </c>
      <c r="AH193" t="s">
        <v>48</v>
      </c>
      <c r="AI193" t="s">
        <v>49</v>
      </c>
      <c r="AJ193" t="s">
        <v>50</v>
      </c>
      <c r="AK193" t="s">
        <v>51</v>
      </c>
      <c r="AL193">
        <v>3.6726999999999999</v>
      </c>
      <c r="AM193" t="s">
        <v>52</v>
      </c>
      <c r="AN193" t="s">
        <v>93</v>
      </c>
      <c r="AO193" t="s">
        <v>50</v>
      </c>
      <c r="AP193" t="s">
        <v>94</v>
      </c>
      <c r="AQ193" t="s">
        <v>55</v>
      </c>
    </row>
    <row r="194" spans="1:43" x14ac:dyDescent="0.3">
      <c r="A194" t="s">
        <v>43</v>
      </c>
      <c r="B194">
        <v>2020</v>
      </c>
      <c r="C194">
        <v>300</v>
      </c>
      <c r="D194">
        <v>5211</v>
      </c>
      <c r="E194">
        <v>30</v>
      </c>
      <c r="F194">
        <v>202305</v>
      </c>
      <c r="G194">
        <v>3100328</v>
      </c>
      <c r="H194" t="s">
        <v>81</v>
      </c>
      <c r="I194" t="s">
        <v>45</v>
      </c>
      <c r="J194">
        <v>7</v>
      </c>
      <c r="K194">
        <f t="shared" ca="1" si="23"/>
        <v>61</v>
      </c>
      <c r="L194">
        <f t="shared" ca="1" si="24"/>
        <v>-85</v>
      </c>
      <c r="M194">
        <f t="shared" ca="1" si="25"/>
        <v>460</v>
      </c>
      <c r="N194">
        <f t="shared" ca="1" si="25"/>
        <v>21</v>
      </c>
      <c r="O194">
        <f t="shared" ref="O194:O257" ca="1" si="33">RANDBETWEEN(-100, 1000)</f>
        <v>-98</v>
      </c>
      <c r="P194">
        <f t="shared" ca="1" si="26"/>
        <v>1330</v>
      </c>
      <c r="Q194">
        <f t="shared" ca="1" si="27"/>
        <v>485</v>
      </c>
      <c r="R194">
        <f t="shared" ca="1" si="28"/>
        <v>134</v>
      </c>
      <c r="S194">
        <f t="shared" ca="1" si="29"/>
        <v>5152</v>
      </c>
      <c r="T194">
        <f t="shared" ca="1" si="30"/>
        <v>5609</v>
      </c>
      <c r="U194">
        <f t="shared" ca="1" si="31"/>
        <v>546</v>
      </c>
      <c r="V194">
        <v>0</v>
      </c>
      <c r="W194">
        <v>0</v>
      </c>
      <c r="X194">
        <f t="shared" ca="1" si="32"/>
        <v>-419</v>
      </c>
      <c r="Y194">
        <v>0</v>
      </c>
      <c r="Z194">
        <v>0</v>
      </c>
      <c r="AA194">
        <v>100</v>
      </c>
      <c r="AB194" t="s">
        <v>80</v>
      </c>
      <c r="AC194" t="s">
        <v>208</v>
      </c>
      <c r="AD194">
        <v>1</v>
      </c>
      <c r="AE194">
        <v>52</v>
      </c>
      <c r="AF194">
        <v>265</v>
      </c>
      <c r="AG194" t="s">
        <v>47</v>
      </c>
      <c r="AH194" t="s">
        <v>48</v>
      </c>
      <c r="AI194" t="s">
        <v>49</v>
      </c>
      <c r="AJ194" t="s">
        <v>50</v>
      </c>
      <c r="AK194" t="s">
        <v>51</v>
      </c>
      <c r="AL194">
        <v>3.6726999999999999</v>
      </c>
      <c r="AM194" t="s">
        <v>52</v>
      </c>
      <c r="AN194" t="s">
        <v>93</v>
      </c>
      <c r="AO194" t="s">
        <v>50</v>
      </c>
      <c r="AP194" t="s">
        <v>94</v>
      </c>
      <c r="AQ194" t="s">
        <v>55</v>
      </c>
    </row>
    <row r="195" spans="1:43" x14ac:dyDescent="0.3">
      <c r="A195" t="s">
        <v>43</v>
      </c>
      <c r="B195">
        <v>2020</v>
      </c>
      <c r="C195">
        <v>300</v>
      </c>
      <c r="D195">
        <v>5211</v>
      </c>
      <c r="E195">
        <v>30</v>
      </c>
      <c r="F195">
        <v>202305</v>
      </c>
      <c r="G195">
        <v>3100353</v>
      </c>
      <c r="H195" t="s">
        <v>81</v>
      </c>
      <c r="I195" t="s">
        <v>45</v>
      </c>
      <c r="J195">
        <v>7</v>
      </c>
      <c r="K195">
        <f t="shared" ref="K195:K258" ca="1" si="34">RANDBETWEEN(0, 100)</f>
        <v>29</v>
      </c>
      <c r="L195">
        <f t="shared" ref="L195:L258" ca="1" si="35">RANDBETWEEN(-100, 100)</f>
        <v>-58</v>
      </c>
      <c r="M195">
        <f t="shared" ref="M195:N258" ca="1" si="36">RANDBETWEEN(-100, 500)</f>
        <v>-42</v>
      </c>
      <c r="N195">
        <f t="shared" ca="1" si="36"/>
        <v>91</v>
      </c>
      <c r="O195">
        <f t="shared" ca="1" si="33"/>
        <v>190</v>
      </c>
      <c r="P195">
        <f t="shared" ref="P195:P258" ca="1" si="37">RANDBETWEEN(-500, 1500)</f>
        <v>1493</v>
      </c>
      <c r="Q195">
        <f t="shared" ref="Q195:Q258" ca="1" si="38">RANDBETWEEN(0,1200)</f>
        <v>1094</v>
      </c>
      <c r="R195">
        <f t="shared" ref="R195:R258" ca="1" si="39">RANDBETWEEN(-100, 500)</f>
        <v>396</v>
      </c>
      <c r="S195">
        <f t="shared" ref="S195:S258" ca="1" si="40">RANDBETWEEN(-100, 15000)</f>
        <v>2152</v>
      </c>
      <c r="T195">
        <f t="shared" ref="T195:T258" ca="1" si="41">RANDBETWEEN(-100, 10000)</f>
        <v>3221</v>
      </c>
      <c r="U195">
        <f t="shared" ref="U195:U258" ca="1" si="42">RANDBETWEEN(-100, 1300)</f>
        <v>874</v>
      </c>
      <c r="V195">
        <v>0</v>
      </c>
      <c r="W195">
        <v>0</v>
      </c>
      <c r="X195">
        <f t="shared" ref="X195:X258" ca="1" si="43">RANDBETWEEN(-500, 100)</f>
        <v>-120</v>
      </c>
      <c r="Y195">
        <v>0</v>
      </c>
      <c r="Z195">
        <v>0</v>
      </c>
      <c r="AA195">
        <v>82</v>
      </c>
      <c r="AB195" t="s">
        <v>80</v>
      </c>
      <c r="AC195" t="s">
        <v>209</v>
      </c>
      <c r="AD195">
        <v>1</v>
      </c>
      <c r="AE195">
        <v>52</v>
      </c>
      <c r="AF195">
        <v>265</v>
      </c>
      <c r="AG195" t="s">
        <v>47</v>
      </c>
      <c r="AH195" t="s">
        <v>48</v>
      </c>
      <c r="AI195" t="s">
        <v>49</v>
      </c>
      <c r="AJ195" t="s">
        <v>50</v>
      </c>
      <c r="AK195" t="s">
        <v>51</v>
      </c>
      <c r="AL195">
        <v>3.6726999999999999</v>
      </c>
      <c r="AM195" t="s">
        <v>52</v>
      </c>
      <c r="AN195" t="s">
        <v>93</v>
      </c>
      <c r="AO195" t="s">
        <v>50</v>
      </c>
      <c r="AP195" t="s">
        <v>94</v>
      </c>
      <c r="AQ195" t="s">
        <v>55</v>
      </c>
    </row>
    <row r="196" spans="1:43" x14ac:dyDescent="0.3">
      <c r="A196" t="s">
        <v>43</v>
      </c>
      <c r="B196">
        <v>2020</v>
      </c>
      <c r="C196">
        <v>300</v>
      </c>
      <c r="D196">
        <v>5211</v>
      </c>
      <c r="E196">
        <v>30</v>
      </c>
      <c r="F196">
        <v>202305</v>
      </c>
      <c r="G196">
        <v>3100354</v>
      </c>
      <c r="H196" t="s">
        <v>81</v>
      </c>
      <c r="I196" t="s">
        <v>45</v>
      </c>
      <c r="J196">
        <v>7</v>
      </c>
      <c r="K196">
        <f t="shared" ca="1" si="34"/>
        <v>6</v>
      </c>
      <c r="L196">
        <f t="shared" ca="1" si="35"/>
        <v>-78</v>
      </c>
      <c r="M196">
        <f t="shared" ca="1" si="36"/>
        <v>443</v>
      </c>
      <c r="N196">
        <f t="shared" ca="1" si="36"/>
        <v>73</v>
      </c>
      <c r="O196">
        <f t="shared" ca="1" si="33"/>
        <v>551</v>
      </c>
      <c r="P196">
        <f t="shared" ca="1" si="37"/>
        <v>261</v>
      </c>
      <c r="Q196">
        <f t="shared" ca="1" si="38"/>
        <v>510</v>
      </c>
      <c r="R196">
        <f t="shared" ca="1" si="39"/>
        <v>-60</v>
      </c>
      <c r="S196">
        <f t="shared" ca="1" si="40"/>
        <v>4902</v>
      </c>
      <c r="T196">
        <f t="shared" ca="1" si="41"/>
        <v>7043</v>
      </c>
      <c r="U196">
        <f t="shared" ca="1" si="42"/>
        <v>1290</v>
      </c>
      <c r="V196">
        <v>0</v>
      </c>
      <c r="W196">
        <v>0</v>
      </c>
      <c r="X196">
        <f t="shared" ca="1" si="43"/>
        <v>22</v>
      </c>
      <c r="Y196">
        <v>0</v>
      </c>
      <c r="Z196">
        <v>0</v>
      </c>
      <c r="AA196">
        <v>0</v>
      </c>
      <c r="AB196" t="s">
        <v>80</v>
      </c>
      <c r="AC196" t="s">
        <v>210</v>
      </c>
      <c r="AD196">
        <v>1</v>
      </c>
      <c r="AE196">
        <v>52</v>
      </c>
      <c r="AF196">
        <v>265</v>
      </c>
      <c r="AG196" t="s">
        <v>47</v>
      </c>
      <c r="AH196" t="s">
        <v>48</v>
      </c>
      <c r="AI196" t="s">
        <v>49</v>
      </c>
      <c r="AJ196" t="s">
        <v>50</v>
      </c>
      <c r="AK196" t="s">
        <v>51</v>
      </c>
      <c r="AL196">
        <v>3.6726999999999999</v>
      </c>
      <c r="AM196" t="s">
        <v>52</v>
      </c>
      <c r="AN196" t="s">
        <v>93</v>
      </c>
      <c r="AO196" t="s">
        <v>50</v>
      </c>
      <c r="AP196" t="s">
        <v>94</v>
      </c>
      <c r="AQ196" t="s">
        <v>55</v>
      </c>
    </row>
    <row r="197" spans="1:43" x14ac:dyDescent="0.3">
      <c r="A197" t="s">
        <v>43</v>
      </c>
      <c r="B197">
        <v>2020</v>
      </c>
      <c r="C197">
        <v>300</v>
      </c>
      <c r="D197">
        <v>5211</v>
      </c>
      <c r="E197">
        <v>30</v>
      </c>
      <c r="F197">
        <v>202305</v>
      </c>
      <c r="G197">
        <v>3100358</v>
      </c>
      <c r="H197" t="s">
        <v>81</v>
      </c>
      <c r="I197" t="s">
        <v>45</v>
      </c>
      <c r="J197">
        <v>7</v>
      </c>
      <c r="K197">
        <f t="shared" ca="1" si="34"/>
        <v>13</v>
      </c>
      <c r="L197">
        <f t="shared" ca="1" si="35"/>
        <v>35</v>
      </c>
      <c r="M197">
        <f t="shared" ca="1" si="36"/>
        <v>69</v>
      </c>
      <c r="N197">
        <f t="shared" ca="1" si="36"/>
        <v>202</v>
      </c>
      <c r="O197">
        <f t="shared" ca="1" si="33"/>
        <v>736</v>
      </c>
      <c r="P197">
        <f t="shared" ca="1" si="37"/>
        <v>581</v>
      </c>
      <c r="Q197">
        <f t="shared" ca="1" si="38"/>
        <v>543</v>
      </c>
      <c r="R197">
        <f t="shared" ca="1" si="39"/>
        <v>225</v>
      </c>
      <c r="S197">
        <f t="shared" ca="1" si="40"/>
        <v>8836</v>
      </c>
      <c r="T197">
        <f t="shared" ca="1" si="41"/>
        <v>3028</v>
      </c>
      <c r="U197">
        <f t="shared" ca="1" si="42"/>
        <v>23</v>
      </c>
      <c r="V197">
        <v>0</v>
      </c>
      <c r="W197">
        <v>0</v>
      </c>
      <c r="X197">
        <f t="shared" ca="1" si="43"/>
        <v>-174</v>
      </c>
      <c r="Y197">
        <v>0</v>
      </c>
      <c r="Z197">
        <v>0</v>
      </c>
      <c r="AA197">
        <v>0</v>
      </c>
      <c r="AB197" t="s">
        <v>80</v>
      </c>
      <c r="AC197" t="s">
        <v>211</v>
      </c>
      <c r="AD197">
        <v>1</v>
      </c>
      <c r="AE197">
        <v>52</v>
      </c>
      <c r="AF197">
        <v>265</v>
      </c>
      <c r="AG197" t="s">
        <v>47</v>
      </c>
      <c r="AH197" t="s">
        <v>48</v>
      </c>
      <c r="AI197" t="s">
        <v>49</v>
      </c>
      <c r="AJ197" t="s">
        <v>50</v>
      </c>
      <c r="AK197" t="s">
        <v>51</v>
      </c>
      <c r="AL197">
        <v>3.6726999999999999</v>
      </c>
      <c r="AM197" t="s">
        <v>52</v>
      </c>
      <c r="AN197" t="s">
        <v>93</v>
      </c>
      <c r="AO197" t="s">
        <v>50</v>
      </c>
      <c r="AP197" t="s">
        <v>94</v>
      </c>
      <c r="AQ197" t="s">
        <v>55</v>
      </c>
    </row>
    <row r="198" spans="1:43" x14ac:dyDescent="0.3">
      <c r="A198" t="s">
        <v>43</v>
      </c>
      <c r="B198">
        <v>2020</v>
      </c>
      <c r="C198">
        <v>300</v>
      </c>
      <c r="D198">
        <v>5211</v>
      </c>
      <c r="E198">
        <v>30</v>
      </c>
      <c r="F198">
        <v>202305</v>
      </c>
      <c r="G198">
        <v>3100362</v>
      </c>
      <c r="H198" t="s">
        <v>81</v>
      </c>
      <c r="I198" t="s">
        <v>45</v>
      </c>
      <c r="J198">
        <v>7</v>
      </c>
      <c r="K198">
        <f t="shared" ca="1" si="34"/>
        <v>62</v>
      </c>
      <c r="L198">
        <f t="shared" ca="1" si="35"/>
        <v>-74</v>
      </c>
      <c r="M198">
        <f t="shared" ca="1" si="36"/>
        <v>288</v>
      </c>
      <c r="N198">
        <f t="shared" ca="1" si="36"/>
        <v>450</v>
      </c>
      <c r="O198">
        <f t="shared" ca="1" si="33"/>
        <v>929</v>
      </c>
      <c r="P198">
        <f t="shared" ca="1" si="37"/>
        <v>803</v>
      </c>
      <c r="Q198">
        <f t="shared" ca="1" si="38"/>
        <v>116</v>
      </c>
      <c r="R198">
        <f t="shared" ca="1" si="39"/>
        <v>20</v>
      </c>
      <c r="S198">
        <f t="shared" ca="1" si="40"/>
        <v>7358</v>
      </c>
      <c r="T198">
        <f t="shared" ca="1" si="41"/>
        <v>6007</v>
      </c>
      <c r="U198">
        <f t="shared" ca="1" si="42"/>
        <v>945</v>
      </c>
      <c r="V198">
        <v>0</v>
      </c>
      <c r="W198">
        <v>0</v>
      </c>
      <c r="X198">
        <f t="shared" ca="1" si="43"/>
        <v>-394</v>
      </c>
      <c r="Y198">
        <v>0</v>
      </c>
      <c r="Z198">
        <v>0</v>
      </c>
      <c r="AA198">
        <v>95</v>
      </c>
      <c r="AB198" t="s">
        <v>80</v>
      </c>
      <c r="AC198" t="s">
        <v>212</v>
      </c>
      <c r="AD198">
        <v>1</v>
      </c>
      <c r="AE198">
        <v>52</v>
      </c>
      <c r="AF198">
        <v>265</v>
      </c>
      <c r="AG198" t="s">
        <v>47</v>
      </c>
      <c r="AH198" t="s">
        <v>48</v>
      </c>
      <c r="AI198" t="s">
        <v>49</v>
      </c>
      <c r="AJ198" t="s">
        <v>50</v>
      </c>
      <c r="AK198" t="s">
        <v>51</v>
      </c>
      <c r="AL198">
        <v>3.6726999999999999</v>
      </c>
      <c r="AM198" t="s">
        <v>52</v>
      </c>
      <c r="AN198" t="s">
        <v>93</v>
      </c>
      <c r="AO198" t="s">
        <v>50</v>
      </c>
      <c r="AP198" t="s">
        <v>94</v>
      </c>
      <c r="AQ198" t="s">
        <v>55</v>
      </c>
    </row>
    <row r="199" spans="1:43" x14ac:dyDescent="0.3">
      <c r="A199" t="s">
        <v>43</v>
      </c>
      <c r="B199">
        <v>2020</v>
      </c>
      <c r="C199">
        <v>300</v>
      </c>
      <c r="D199">
        <v>5211</v>
      </c>
      <c r="E199">
        <v>30</v>
      </c>
      <c r="F199">
        <v>202305</v>
      </c>
      <c r="G199">
        <v>3100364</v>
      </c>
      <c r="H199" t="s">
        <v>81</v>
      </c>
      <c r="I199" t="s">
        <v>45</v>
      </c>
      <c r="J199">
        <v>7</v>
      </c>
      <c r="K199">
        <f t="shared" ca="1" si="34"/>
        <v>63</v>
      </c>
      <c r="L199">
        <f t="shared" ca="1" si="35"/>
        <v>-60</v>
      </c>
      <c r="M199">
        <f t="shared" ca="1" si="36"/>
        <v>47</v>
      </c>
      <c r="N199">
        <f t="shared" ca="1" si="36"/>
        <v>378</v>
      </c>
      <c r="O199">
        <f t="shared" ca="1" si="33"/>
        <v>398</v>
      </c>
      <c r="P199">
        <f t="shared" ca="1" si="37"/>
        <v>488</v>
      </c>
      <c r="Q199">
        <f t="shared" ca="1" si="38"/>
        <v>703</v>
      </c>
      <c r="R199">
        <f t="shared" ca="1" si="39"/>
        <v>259</v>
      </c>
      <c r="S199">
        <f t="shared" ca="1" si="40"/>
        <v>2775</v>
      </c>
      <c r="T199">
        <f t="shared" ca="1" si="41"/>
        <v>248</v>
      </c>
      <c r="U199">
        <f t="shared" ca="1" si="42"/>
        <v>251</v>
      </c>
      <c r="V199">
        <v>0</v>
      </c>
      <c r="W199">
        <v>0</v>
      </c>
      <c r="X199">
        <f t="shared" ca="1" si="43"/>
        <v>-131</v>
      </c>
      <c r="Y199">
        <v>0</v>
      </c>
      <c r="Z199">
        <v>0</v>
      </c>
      <c r="AA199">
        <v>31</v>
      </c>
      <c r="AB199" t="s">
        <v>80</v>
      </c>
      <c r="AC199" t="s">
        <v>89</v>
      </c>
      <c r="AD199">
        <v>1</v>
      </c>
      <c r="AE199">
        <v>52</v>
      </c>
      <c r="AF199">
        <v>265</v>
      </c>
      <c r="AG199" t="s">
        <v>47</v>
      </c>
      <c r="AH199" t="s">
        <v>48</v>
      </c>
      <c r="AI199" t="s">
        <v>49</v>
      </c>
      <c r="AJ199" t="s">
        <v>50</v>
      </c>
      <c r="AK199" t="s">
        <v>51</v>
      </c>
      <c r="AL199">
        <v>3.6726999999999999</v>
      </c>
      <c r="AM199" t="s">
        <v>52</v>
      </c>
      <c r="AN199" t="s">
        <v>93</v>
      </c>
      <c r="AO199" t="s">
        <v>50</v>
      </c>
      <c r="AP199" t="s">
        <v>94</v>
      </c>
      <c r="AQ199" t="s">
        <v>55</v>
      </c>
    </row>
    <row r="200" spans="1:43" x14ac:dyDescent="0.3">
      <c r="A200" t="s">
        <v>43</v>
      </c>
      <c r="B200">
        <v>2020</v>
      </c>
      <c r="C200">
        <v>300</v>
      </c>
      <c r="D200">
        <v>5211</v>
      </c>
      <c r="E200">
        <v>30</v>
      </c>
      <c r="F200">
        <v>202305</v>
      </c>
      <c r="G200">
        <v>3100370</v>
      </c>
      <c r="H200" t="s">
        <v>81</v>
      </c>
      <c r="I200" t="s">
        <v>45</v>
      </c>
      <c r="J200">
        <v>7</v>
      </c>
      <c r="K200">
        <f t="shared" ca="1" si="34"/>
        <v>10</v>
      </c>
      <c r="L200">
        <f t="shared" ca="1" si="35"/>
        <v>-51</v>
      </c>
      <c r="M200">
        <f t="shared" ca="1" si="36"/>
        <v>400</v>
      </c>
      <c r="N200">
        <f t="shared" ca="1" si="36"/>
        <v>-67</v>
      </c>
      <c r="O200">
        <f t="shared" ca="1" si="33"/>
        <v>966</v>
      </c>
      <c r="P200">
        <f t="shared" ca="1" si="37"/>
        <v>1231</v>
      </c>
      <c r="Q200">
        <f t="shared" ca="1" si="38"/>
        <v>709</v>
      </c>
      <c r="R200">
        <f t="shared" ca="1" si="39"/>
        <v>99</v>
      </c>
      <c r="S200">
        <f t="shared" ca="1" si="40"/>
        <v>108</v>
      </c>
      <c r="T200">
        <f t="shared" ca="1" si="41"/>
        <v>8984</v>
      </c>
      <c r="U200">
        <f t="shared" ca="1" si="42"/>
        <v>329</v>
      </c>
      <c r="V200">
        <v>0</v>
      </c>
      <c r="W200">
        <v>0</v>
      </c>
      <c r="X200">
        <f t="shared" ca="1" si="43"/>
        <v>-291</v>
      </c>
      <c r="Y200">
        <v>0</v>
      </c>
      <c r="Z200">
        <v>1861</v>
      </c>
      <c r="AA200">
        <v>98</v>
      </c>
      <c r="AB200" t="s">
        <v>80</v>
      </c>
      <c r="AC200" t="s">
        <v>112</v>
      </c>
      <c r="AD200">
        <v>1</v>
      </c>
      <c r="AE200">
        <v>52</v>
      </c>
      <c r="AF200">
        <v>265</v>
      </c>
      <c r="AG200" t="s">
        <v>47</v>
      </c>
      <c r="AH200" t="s">
        <v>48</v>
      </c>
      <c r="AI200" t="s">
        <v>49</v>
      </c>
      <c r="AJ200" t="s">
        <v>50</v>
      </c>
      <c r="AK200" t="s">
        <v>51</v>
      </c>
      <c r="AL200">
        <v>3.6726999999999999</v>
      </c>
      <c r="AM200" t="s">
        <v>52</v>
      </c>
      <c r="AN200" t="s">
        <v>93</v>
      </c>
      <c r="AO200" t="s">
        <v>50</v>
      </c>
      <c r="AP200" t="s">
        <v>94</v>
      </c>
      <c r="AQ200" t="s">
        <v>55</v>
      </c>
    </row>
    <row r="201" spans="1:43" x14ac:dyDescent="0.3">
      <c r="A201" t="s">
        <v>43</v>
      </c>
      <c r="B201">
        <v>2020</v>
      </c>
      <c r="C201">
        <v>300</v>
      </c>
      <c r="D201">
        <v>5211</v>
      </c>
      <c r="E201">
        <v>30</v>
      </c>
      <c r="F201">
        <v>202305</v>
      </c>
      <c r="G201">
        <v>3100371</v>
      </c>
      <c r="H201" t="s">
        <v>81</v>
      </c>
      <c r="I201" t="s">
        <v>45</v>
      </c>
      <c r="J201">
        <v>7</v>
      </c>
      <c r="K201">
        <f t="shared" ca="1" si="34"/>
        <v>37</v>
      </c>
      <c r="L201">
        <f t="shared" ca="1" si="35"/>
        <v>19</v>
      </c>
      <c r="M201">
        <f t="shared" ca="1" si="36"/>
        <v>451</v>
      </c>
      <c r="N201">
        <f t="shared" ca="1" si="36"/>
        <v>-60</v>
      </c>
      <c r="O201">
        <f t="shared" ca="1" si="33"/>
        <v>385</v>
      </c>
      <c r="P201">
        <f t="shared" ca="1" si="37"/>
        <v>1310</v>
      </c>
      <c r="Q201">
        <f t="shared" ca="1" si="38"/>
        <v>394</v>
      </c>
      <c r="R201">
        <f t="shared" ca="1" si="39"/>
        <v>310</v>
      </c>
      <c r="S201">
        <f t="shared" ca="1" si="40"/>
        <v>11836</v>
      </c>
      <c r="T201">
        <f t="shared" ca="1" si="41"/>
        <v>1213</v>
      </c>
      <c r="U201">
        <f t="shared" ca="1" si="42"/>
        <v>45</v>
      </c>
      <c r="V201">
        <v>0</v>
      </c>
      <c r="W201">
        <v>0</v>
      </c>
      <c r="X201">
        <f t="shared" ca="1" si="43"/>
        <v>-218</v>
      </c>
      <c r="Y201">
        <v>0</v>
      </c>
      <c r="Z201">
        <v>0</v>
      </c>
      <c r="AA201">
        <v>100</v>
      </c>
      <c r="AB201" t="s">
        <v>80</v>
      </c>
      <c r="AC201" t="s">
        <v>213</v>
      </c>
      <c r="AD201">
        <v>1</v>
      </c>
      <c r="AE201">
        <v>52</v>
      </c>
      <c r="AF201">
        <v>265</v>
      </c>
      <c r="AG201" t="s">
        <v>47</v>
      </c>
      <c r="AH201" t="s">
        <v>48</v>
      </c>
      <c r="AI201" t="s">
        <v>49</v>
      </c>
      <c r="AJ201" t="s">
        <v>50</v>
      </c>
      <c r="AK201" t="s">
        <v>51</v>
      </c>
      <c r="AL201">
        <v>3.6726999999999999</v>
      </c>
      <c r="AM201" t="s">
        <v>52</v>
      </c>
      <c r="AN201" t="s">
        <v>93</v>
      </c>
      <c r="AO201" t="s">
        <v>50</v>
      </c>
      <c r="AP201" t="s">
        <v>94</v>
      </c>
      <c r="AQ201" t="s">
        <v>55</v>
      </c>
    </row>
    <row r="202" spans="1:43" x14ac:dyDescent="0.3">
      <c r="A202" t="s">
        <v>43</v>
      </c>
      <c r="B202">
        <v>2020</v>
      </c>
      <c r="C202">
        <v>300</v>
      </c>
      <c r="D202">
        <v>5211</v>
      </c>
      <c r="E202">
        <v>30</v>
      </c>
      <c r="F202">
        <v>202305</v>
      </c>
      <c r="G202">
        <v>3100377</v>
      </c>
      <c r="H202" t="s">
        <v>81</v>
      </c>
      <c r="I202" t="s">
        <v>45</v>
      </c>
      <c r="J202">
        <v>7</v>
      </c>
      <c r="K202">
        <f t="shared" ca="1" si="34"/>
        <v>63</v>
      </c>
      <c r="L202">
        <f t="shared" ca="1" si="35"/>
        <v>20</v>
      </c>
      <c r="M202">
        <f t="shared" ca="1" si="36"/>
        <v>36</v>
      </c>
      <c r="N202">
        <f t="shared" ca="1" si="36"/>
        <v>274</v>
      </c>
      <c r="O202">
        <f t="shared" ca="1" si="33"/>
        <v>817</v>
      </c>
      <c r="P202">
        <f t="shared" ca="1" si="37"/>
        <v>1459</v>
      </c>
      <c r="Q202">
        <f t="shared" ca="1" si="38"/>
        <v>255</v>
      </c>
      <c r="R202">
        <f t="shared" ca="1" si="39"/>
        <v>-85</v>
      </c>
      <c r="S202">
        <f t="shared" ca="1" si="40"/>
        <v>2291</v>
      </c>
      <c r="T202">
        <f t="shared" ca="1" si="41"/>
        <v>7203</v>
      </c>
      <c r="U202">
        <f t="shared" ca="1" si="42"/>
        <v>580</v>
      </c>
      <c r="V202">
        <v>0</v>
      </c>
      <c r="W202">
        <v>0</v>
      </c>
      <c r="X202">
        <f t="shared" ca="1" si="43"/>
        <v>-108</v>
      </c>
      <c r="Y202">
        <v>0</v>
      </c>
      <c r="Z202">
        <v>0</v>
      </c>
      <c r="AA202">
        <v>100</v>
      </c>
      <c r="AB202" t="s">
        <v>80</v>
      </c>
      <c r="AC202" t="s">
        <v>113</v>
      </c>
      <c r="AD202">
        <v>1</v>
      </c>
      <c r="AE202">
        <v>52</v>
      </c>
      <c r="AF202">
        <v>265</v>
      </c>
      <c r="AG202" t="s">
        <v>47</v>
      </c>
      <c r="AH202" t="s">
        <v>48</v>
      </c>
      <c r="AI202" t="s">
        <v>49</v>
      </c>
      <c r="AJ202" t="s">
        <v>50</v>
      </c>
      <c r="AK202" t="s">
        <v>51</v>
      </c>
      <c r="AL202">
        <v>3.6726999999999999</v>
      </c>
      <c r="AM202" t="s">
        <v>52</v>
      </c>
      <c r="AN202" t="s">
        <v>93</v>
      </c>
      <c r="AO202" t="s">
        <v>50</v>
      </c>
      <c r="AP202" t="s">
        <v>94</v>
      </c>
      <c r="AQ202" t="s">
        <v>55</v>
      </c>
    </row>
    <row r="203" spans="1:43" x14ac:dyDescent="0.3">
      <c r="A203" t="s">
        <v>43</v>
      </c>
      <c r="B203">
        <v>2020</v>
      </c>
      <c r="C203">
        <v>300</v>
      </c>
      <c r="D203">
        <v>5211</v>
      </c>
      <c r="E203">
        <v>30</v>
      </c>
      <c r="F203">
        <v>202305</v>
      </c>
      <c r="G203">
        <v>3100393</v>
      </c>
      <c r="H203" t="s">
        <v>81</v>
      </c>
      <c r="I203" t="s">
        <v>45</v>
      </c>
      <c r="J203">
        <v>7</v>
      </c>
      <c r="K203">
        <f t="shared" ca="1" si="34"/>
        <v>96</v>
      </c>
      <c r="L203">
        <f t="shared" ca="1" si="35"/>
        <v>18</v>
      </c>
      <c r="M203">
        <f t="shared" ca="1" si="36"/>
        <v>-50</v>
      </c>
      <c r="N203">
        <f t="shared" ca="1" si="36"/>
        <v>201</v>
      </c>
      <c r="O203">
        <f t="shared" ca="1" si="33"/>
        <v>649</v>
      </c>
      <c r="P203">
        <f t="shared" ca="1" si="37"/>
        <v>-162</v>
      </c>
      <c r="Q203">
        <f t="shared" ca="1" si="38"/>
        <v>160</v>
      </c>
      <c r="R203">
        <f t="shared" ca="1" si="39"/>
        <v>484</v>
      </c>
      <c r="S203">
        <f t="shared" ca="1" si="40"/>
        <v>1163</v>
      </c>
      <c r="T203">
        <f t="shared" ca="1" si="41"/>
        <v>5835</v>
      </c>
      <c r="U203">
        <f t="shared" ca="1" si="42"/>
        <v>679</v>
      </c>
      <c r="V203">
        <v>0</v>
      </c>
      <c r="W203">
        <v>0</v>
      </c>
      <c r="X203">
        <f t="shared" ca="1" si="43"/>
        <v>-233</v>
      </c>
      <c r="Y203">
        <v>0</v>
      </c>
      <c r="Z203">
        <v>0</v>
      </c>
      <c r="AA203">
        <v>100</v>
      </c>
      <c r="AB203" t="s">
        <v>80</v>
      </c>
      <c r="AC203" t="s">
        <v>90</v>
      </c>
      <c r="AD203">
        <v>1</v>
      </c>
      <c r="AE203">
        <v>52</v>
      </c>
      <c r="AF203">
        <v>265</v>
      </c>
      <c r="AG203" t="s">
        <v>47</v>
      </c>
      <c r="AH203" t="s">
        <v>48</v>
      </c>
      <c r="AI203" t="s">
        <v>49</v>
      </c>
      <c r="AJ203" t="s">
        <v>50</v>
      </c>
      <c r="AK203" t="s">
        <v>51</v>
      </c>
      <c r="AL203">
        <v>3.6726999999999999</v>
      </c>
      <c r="AM203" t="s">
        <v>52</v>
      </c>
      <c r="AN203" t="s">
        <v>93</v>
      </c>
      <c r="AO203" t="s">
        <v>50</v>
      </c>
      <c r="AP203" t="s">
        <v>94</v>
      </c>
      <c r="AQ203" t="s">
        <v>55</v>
      </c>
    </row>
    <row r="204" spans="1:43" x14ac:dyDescent="0.3">
      <c r="A204" t="s">
        <v>43</v>
      </c>
      <c r="B204">
        <v>2020</v>
      </c>
      <c r="C204">
        <v>300</v>
      </c>
      <c r="D204">
        <v>5211</v>
      </c>
      <c r="E204">
        <v>30</v>
      </c>
      <c r="F204">
        <v>202305</v>
      </c>
      <c r="G204">
        <v>3100395</v>
      </c>
      <c r="H204" t="s">
        <v>81</v>
      </c>
      <c r="I204" t="s">
        <v>45</v>
      </c>
      <c r="J204">
        <v>7</v>
      </c>
      <c r="K204">
        <f t="shared" ca="1" si="34"/>
        <v>26</v>
      </c>
      <c r="L204">
        <f t="shared" ca="1" si="35"/>
        <v>59</v>
      </c>
      <c r="M204">
        <f t="shared" ca="1" si="36"/>
        <v>282</v>
      </c>
      <c r="N204">
        <f t="shared" ca="1" si="36"/>
        <v>146</v>
      </c>
      <c r="O204">
        <f t="shared" ca="1" si="33"/>
        <v>163</v>
      </c>
      <c r="P204">
        <f t="shared" ca="1" si="37"/>
        <v>145</v>
      </c>
      <c r="Q204">
        <f t="shared" ca="1" si="38"/>
        <v>178</v>
      </c>
      <c r="R204">
        <f t="shared" ca="1" si="39"/>
        <v>465</v>
      </c>
      <c r="S204">
        <f t="shared" ca="1" si="40"/>
        <v>1880</v>
      </c>
      <c r="T204">
        <f t="shared" ca="1" si="41"/>
        <v>4748</v>
      </c>
      <c r="U204">
        <f t="shared" ca="1" si="42"/>
        <v>875</v>
      </c>
      <c r="V204">
        <v>0</v>
      </c>
      <c r="W204">
        <v>0</v>
      </c>
      <c r="X204">
        <f t="shared" ca="1" si="43"/>
        <v>-441</v>
      </c>
      <c r="Y204">
        <v>0</v>
      </c>
      <c r="Z204">
        <v>0</v>
      </c>
      <c r="AA204">
        <v>0</v>
      </c>
      <c r="AB204" t="s">
        <v>80</v>
      </c>
      <c r="AC204" t="s">
        <v>214</v>
      </c>
      <c r="AD204">
        <v>1</v>
      </c>
      <c r="AE204">
        <v>52</v>
      </c>
      <c r="AF204">
        <v>265</v>
      </c>
      <c r="AG204" t="s">
        <v>47</v>
      </c>
      <c r="AH204" t="s">
        <v>48</v>
      </c>
      <c r="AI204" t="s">
        <v>49</v>
      </c>
      <c r="AJ204" t="s">
        <v>50</v>
      </c>
      <c r="AK204" t="s">
        <v>51</v>
      </c>
      <c r="AL204">
        <v>3.6726999999999999</v>
      </c>
      <c r="AM204" t="s">
        <v>52</v>
      </c>
      <c r="AN204" t="s">
        <v>93</v>
      </c>
      <c r="AO204" t="s">
        <v>50</v>
      </c>
      <c r="AP204" t="s">
        <v>94</v>
      </c>
      <c r="AQ204" t="s">
        <v>55</v>
      </c>
    </row>
    <row r="205" spans="1:43" x14ac:dyDescent="0.3">
      <c r="A205" t="s">
        <v>43</v>
      </c>
      <c r="B205">
        <v>2020</v>
      </c>
      <c r="C205">
        <v>300</v>
      </c>
      <c r="D205">
        <v>5211</v>
      </c>
      <c r="E205">
        <v>30</v>
      </c>
      <c r="F205">
        <v>202305</v>
      </c>
      <c r="G205">
        <v>3100396</v>
      </c>
      <c r="H205" t="s">
        <v>81</v>
      </c>
      <c r="I205" t="s">
        <v>45</v>
      </c>
      <c r="J205">
        <v>7</v>
      </c>
      <c r="K205">
        <f t="shared" ca="1" si="34"/>
        <v>15</v>
      </c>
      <c r="L205">
        <f t="shared" ca="1" si="35"/>
        <v>14</v>
      </c>
      <c r="M205">
        <f t="shared" ca="1" si="36"/>
        <v>221</v>
      </c>
      <c r="N205">
        <f t="shared" ca="1" si="36"/>
        <v>-80</v>
      </c>
      <c r="O205">
        <f t="shared" ca="1" si="33"/>
        <v>584</v>
      </c>
      <c r="P205">
        <f t="shared" ca="1" si="37"/>
        <v>678</v>
      </c>
      <c r="Q205">
        <f t="shared" ca="1" si="38"/>
        <v>678</v>
      </c>
      <c r="R205">
        <f t="shared" ca="1" si="39"/>
        <v>371</v>
      </c>
      <c r="S205">
        <f t="shared" ca="1" si="40"/>
        <v>-20</v>
      </c>
      <c r="T205">
        <f t="shared" ca="1" si="41"/>
        <v>342</v>
      </c>
      <c r="U205">
        <f t="shared" ca="1" si="42"/>
        <v>984</v>
      </c>
      <c r="V205">
        <v>0</v>
      </c>
      <c r="W205">
        <v>0</v>
      </c>
      <c r="X205">
        <f t="shared" ca="1" si="43"/>
        <v>39</v>
      </c>
      <c r="Y205">
        <v>0</v>
      </c>
      <c r="Z205">
        <v>0</v>
      </c>
      <c r="AA205">
        <v>0</v>
      </c>
      <c r="AB205" t="s">
        <v>80</v>
      </c>
      <c r="AC205" t="s">
        <v>215</v>
      </c>
      <c r="AD205">
        <v>1</v>
      </c>
      <c r="AE205">
        <v>52</v>
      </c>
      <c r="AF205">
        <v>265</v>
      </c>
      <c r="AG205" t="s">
        <v>47</v>
      </c>
      <c r="AH205" t="s">
        <v>48</v>
      </c>
      <c r="AI205" t="s">
        <v>49</v>
      </c>
      <c r="AJ205" t="s">
        <v>50</v>
      </c>
      <c r="AK205" t="s">
        <v>51</v>
      </c>
      <c r="AL205">
        <v>3.6726999999999999</v>
      </c>
      <c r="AM205" t="s">
        <v>52</v>
      </c>
      <c r="AN205" t="s">
        <v>93</v>
      </c>
      <c r="AO205" t="s">
        <v>50</v>
      </c>
      <c r="AP205" t="s">
        <v>94</v>
      </c>
      <c r="AQ205" t="s">
        <v>55</v>
      </c>
    </row>
    <row r="206" spans="1:43" x14ac:dyDescent="0.3">
      <c r="A206" t="s">
        <v>43</v>
      </c>
      <c r="B206">
        <v>2020</v>
      </c>
      <c r="C206">
        <v>300</v>
      </c>
      <c r="D206">
        <v>5211</v>
      </c>
      <c r="E206">
        <v>30</v>
      </c>
      <c r="F206">
        <v>202305</v>
      </c>
      <c r="G206">
        <v>3200341</v>
      </c>
      <c r="H206" t="s">
        <v>81</v>
      </c>
      <c r="I206" t="s">
        <v>45</v>
      </c>
      <c r="J206">
        <v>7</v>
      </c>
      <c r="K206">
        <f t="shared" ca="1" si="34"/>
        <v>96</v>
      </c>
      <c r="L206">
        <f t="shared" ca="1" si="35"/>
        <v>-44</v>
      </c>
      <c r="M206">
        <f t="shared" ca="1" si="36"/>
        <v>282</v>
      </c>
      <c r="N206">
        <f t="shared" ca="1" si="36"/>
        <v>160</v>
      </c>
      <c r="O206">
        <f t="shared" ca="1" si="33"/>
        <v>114</v>
      </c>
      <c r="P206">
        <f t="shared" ca="1" si="37"/>
        <v>101</v>
      </c>
      <c r="Q206">
        <f t="shared" ca="1" si="38"/>
        <v>838</v>
      </c>
      <c r="R206">
        <f t="shared" ca="1" si="39"/>
        <v>315</v>
      </c>
      <c r="S206">
        <f t="shared" ca="1" si="40"/>
        <v>12872</v>
      </c>
      <c r="T206">
        <f t="shared" ca="1" si="41"/>
        <v>579</v>
      </c>
      <c r="U206">
        <f t="shared" ca="1" si="42"/>
        <v>774</v>
      </c>
      <c r="V206">
        <v>0</v>
      </c>
      <c r="W206">
        <v>0</v>
      </c>
      <c r="X206">
        <f t="shared" ca="1" si="43"/>
        <v>-448</v>
      </c>
      <c r="Y206">
        <v>0</v>
      </c>
      <c r="Z206">
        <v>0</v>
      </c>
      <c r="AA206">
        <v>89</v>
      </c>
      <c r="AB206" t="s">
        <v>114</v>
      </c>
      <c r="AC206" t="s">
        <v>115</v>
      </c>
      <c r="AD206">
        <v>1</v>
      </c>
      <c r="AE206">
        <v>52</v>
      </c>
      <c r="AF206">
        <v>265</v>
      </c>
      <c r="AG206" t="s">
        <v>47</v>
      </c>
      <c r="AH206" t="s">
        <v>48</v>
      </c>
      <c r="AI206" t="s">
        <v>49</v>
      </c>
      <c r="AJ206" t="s">
        <v>50</v>
      </c>
      <c r="AK206" t="s">
        <v>51</v>
      </c>
      <c r="AL206">
        <v>3.6726999999999999</v>
      </c>
      <c r="AM206" t="s">
        <v>52</v>
      </c>
      <c r="AN206" t="s">
        <v>93</v>
      </c>
      <c r="AO206" t="s">
        <v>50</v>
      </c>
      <c r="AP206" t="s">
        <v>94</v>
      </c>
      <c r="AQ206" t="s">
        <v>55</v>
      </c>
    </row>
    <row r="207" spans="1:43" x14ac:dyDescent="0.3">
      <c r="A207" t="s">
        <v>43</v>
      </c>
      <c r="B207">
        <v>2020</v>
      </c>
      <c r="C207">
        <v>300</v>
      </c>
      <c r="D207">
        <v>5211</v>
      </c>
      <c r="E207">
        <v>30</v>
      </c>
      <c r="F207">
        <v>202305</v>
      </c>
      <c r="G207">
        <v>3200342</v>
      </c>
      <c r="H207" t="s">
        <v>81</v>
      </c>
      <c r="I207" t="s">
        <v>45</v>
      </c>
      <c r="J207">
        <v>7</v>
      </c>
      <c r="K207">
        <f t="shared" ca="1" si="34"/>
        <v>52</v>
      </c>
      <c r="L207">
        <f t="shared" ca="1" si="35"/>
        <v>95</v>
      </c>
      <c r="M207">
        <f t="shared" ca="1" si="36"/>
        <v>357</v>
      </c>
      <c r="N207">
        <f t="shared" ca="1" si="36"/>
        <v>28</v>
      </c>
      <c r="O207">
        <f t="shared" ca="1" si="33"/>
        <v>4</v>
      </c>
      <c r="P207">
        <f t="shared" ca="1" si="37"/>
        <v>596</v>
      </c>
      <c r="Q207">
        <f t="shared" ca="1" si="38"/>
        <v>203</v>
      </c>
      <c r="R207">
        <f t="shared" ca="1" si="39"/>
        <v>378</v>
      </c>
      <c r="S207">
        <f t="shared" ca="1" si="40"/>
        <v>11265</v>
      </c>
      <c r="T207">
        <f t="shared" ca="1" si="41"/>
        <v>4061</v>
      </c>
      <c r="U207">
        <f t="shared" ca="1" si="42"/>
        <v>1021</v>
      </c>
      <c r="V207">
        <v>0</v>
      </c>
      <c r="W207">
        <v>0</v>
      </c>
      <c r="X207">
        <f t="shared" ca="1" si="43"/>
        <v>-442</v>
      </c>
      <c r="Y207">
        <v>0</v>
      </c>
      <c r="Z207">
        <v>0</v>
      </c>
      <c r="AA207">
        <v>50</v>
      </c>
      <c r="AB207" t="s">
        <v>114</v>
      </c>
      <c r="AC207" t="s">
        <v>116</v>
      </c>
      <c r="AD207">
        <v>1</v>
      </c>
      <c r="AE207">
        <v>52</v>
      </c>
      <c r="AF207">
        <v>265</v>
      </c>
      <c r="AG207" t="s">
        <v>47</v>
      </c>
      <c r="AH207" t="s">
        <v>48</v>
      </c>
      <c r="AI207" t="s">
        <v>49</v>
      </c>
      <c r="AJ207" t="s">
        <v>50</v>
      </c>
      <c r="AK207" t="s">
        <v>51</v>
      </c>
      <c r="AL207">
        <v>3.6726999999999999</v>
      </c>
      <c r="AM207" t="s">
        <v>52</v>
      </c>
      <c r="AN207" t="s">
        <v>93</v>
      </c>
      <c r="AO207" t="s">
        <v>50</v>
      </c>
      <c r="AP207" t="s">
        <v>94</v>
      </c>
      <c r="AQ207" t="s">
        <v>55</v>
      </c>
    </row>
    <row r="208" spans="1:43" x14ac:dyDescent="0.3">
      <c r="A208" t="s">
        <v>43</v>
      </c>
      <c r="B208">
        <v>2020</v>
      </c>
      <c r="C208">
        <v>300</v>
      </c>
      <c r="D208">
        <v>5211</v>
      </c>
      <c r="E208">
        <v>30</v>
      </c>
      <c r="F208">
        <v>202305</v>
      </c>
      <c r="G208">
        <v>3200343</v>
      </c>
      <c r="H208" t="s">
        <v>81</v>
      </c>
      <c r="I208" t="s">
        <v>45</v>
      </c>
      <c r="J208">
        <v>7</v>
      </c>
      <c r="K208">
        <f t="shared" ca="1" si="34"/>
        <v>62</v>
      </c>
      <c r="L208">
        <f t="shared" ca="1" si="35"/>
        <v>92</v>
      </c>
      <c r="M208">
        <f t="shared" ca="1" si="36"/>
        <v>351</v>
      </c>
      <c r="N208">
        <f t="shared" ca="1" si="36"/>
        <v>-93</v>
      </c>
      <c r="O208">
        <f t="shared" ca="1" si="33"/>
        <v>711</v>
      </c>
      <c r="P208">
        <f t="shared" ca="1" si="37"/>
        <v>-239</v>
      </c>
      <c r="Q208">
        <f t="shared" ca="1" si="38"/>
        <v>179</v>
      </c>
      <c r="R208">
        <f t="shared" ca="1" si="39"/>
        <v>266</v>
      </c>
      <c r="S208">
        <f t="shared" ca="1" si="40"/>
        <v>9183</v>
      </c>
      <c r="T208">
        <f t="shared" ca="1" si="41"/>
        <v>6163</v>
      </c>
      <c r="U208">
        <f t="shared" ca="1" si="42"/>
        <v>206</v>
      </c>
      <c r="V208">
        <v>0</v>
      </c>
      <c r="W208">
        <v>0</v>
      </c>
      <c r="X208">
        <f t="shared" ca="1" si="43"/>
        <v>-154</v>
      </c>
      <c r="Y208">
        <v>0</v>
      </c>
      <c r="Z208">
        <v>0</v>
      </c>
      <c r="AA208">
        <v>84</v>
      </c>
      <c r="AB208" t="s">
        <v>114</v>
      </c>
      <c r="AC208" t="s">
        <v>117</v>
      </c>
      <c r="AD208">
        <v>1</v>
      </c>
      <c r="AE208">
        <v>52</v>
      </c>
      <c r="AF208">
        <v>265</v>
      </c>
      <c r="AG208" t="s">
        <v>47</v>
      </c>
      <c r="AH208" t="s">
        <v>48</v>
      </c>
      <c r="AI208" t="s">
        <v>49</v>
      </c>
      <c r="AJ208" t="s">
        <v>50</v>
      </c>
      <c r="AK208" t="s">
        <v>51</v>
      </c>
      <c r="AL208">
        <v>3.6726999999999999</v>
      </c>
      <c r="AM208" t="s">
        <v>52</v>
      </c>
      <c r="AN208" t="s">
        <v>93</v>
      </c>
      <c r="AO208" t="s">
        <v>50</v>
      </c>
      <c r="AP208" t="s">
        <v>94</v>
      </c>
      <c r="AQ208" t="s">
        <v>55</v>
      </c>
    </row>
    <row r="209" spans="1:43" x14ac:dyDescent="0.3">
      <c r="A209" t="s">
        <v>43</v>
      </c>
      <c r="B209">
        <v>2020</v>
      </c>
      <c r="C209">
        <v>300</v>
      </c>
      <c r="D209">
        <v>5211</v>
      </c>
      <c r="E209">
        <v>30</v>
      </c>
      <c r="F209">
        <v>202305</v>
      </c>
      <c r="G209">
        <v>3200344</v>
      </c>
      <c r="H209" t="s">
        <v>81</v>
      </c>
      <c r="I209" t="s">
        <v>45</v>
      </c>
      <c r="J209">
        <v>7</v>
      </c>
      <c r="K209">
        <f t="shared" ca="1" si="34"/>
        <v>77</v>
      </c>
      <c r="L209">
        <f t="shared" ca="1" si="35"/>
        <v>-2</v>
      </c>
      <c r="M209">
        <f t="shared" ca="1" si="36"/>
        <v>80</v>
      </c>
      <c r="N209">
        <f t="shared" ca="1" si="36"/>
        <v>393</v>
      </c>
      <c r="O209">
        <f t="shared" ca="1" si="33"/>
        <v>110</v>
      </c>
      <c r="P209">
        <f t="shared" ca="1" si="37"/>
        <v>-403</v>
      </c>
      <c r="Q209">
        <f t="shared" ca="1" si="38"/>
        <v>828</v>
      </c>
      <c r="R209">
        <f t="shared" ca="1" si="39"/>
        <v>10</v>
      </c>
      <c r="S209">
        <f t="shared" ca="1" si="40"/>
        <v>-87</v>
      </c>
      <c r="T209">
        <f t="shared" ca="1" si="41"/>
        <v>4398</v>
      </c>
      <c r="U209">
        <f t="shared" ca="1" si="42"/>
        <v>124</v>
      </c>
      <c r="V209">
        <v>0</v>
      </c>
      <c r="W209">
        <v>0</v>
      </c>
      <c r="X209">
        <f t="shared" ca="1" si="43"/>
        <v>-476</v>
      </c>
      <c r="Y209">
        <v>0</v>
      </c>
      <c r="Z209">
        <v>0</v>
      </c>
      <c r="AA209">
        <v>84</v>
      </c>
      <c r="AB209" t="s">
        <v>114</v>
      </c>
      <c r="AC209" t="s">
        <v>118</v>
      </c>
      <c r="AD209">
        <v>1</v>
      </c>
      <c r="AE209">
        <v>52</v>
      </c>
      <c r="AF209">
        <v>265</v>
      </c>
      <c r="AG209" t="s">
        <v>47</v>
      </c>
      <c r="AH209" t="s">
        <v>48</v>
      </c>
      <c r="AI209" t="s">
        <v>49</v>
      </c>
      <c r="AJ209" t="s">
        <v>50</v>
      </c>
      <c r="AK209" t="s">
        <v>51</v>
      </c>
      <c r="AL209">
        <v>3.6726999999999999</v>
      </c>
      <c r="AM209" t="s">
        <v>52</v>
      </c>
      <c r="AN209" t="s">
        <v>93</v>
      </c>
      <c r="AO209" t="s">
        <v>50</v>
      </c>
      <c r="AP209" t="s">
        <v>94</v>
      </c>
      <c r="AQ209" t="s">
        <v>55</v>
      </c>
    </row>
    <row r="210" spans="1:43" x14ac:dyDescent="0.3">
      <c r="A210" t="s">
        <v>43</v>
      </c>
      <c r="B210">
        <v>2020</v>
      </c>
      <c r="C210">
        <v>300</v>
      </c>
      <c r="D210">
        <v>5211</v>
      </c>
      <c r="E210">
        <v>30</v>
      </c>
      <c r="F210">
        <v>202305</v>
      </c>
      <c r="G210">
        <v>3200345</v>
      </c>
      <c r="H210" t="s">
        <v>81</v>
      </c>
      <c r="I210" t="s">
        <v>45</v>
      </c>
      <c r="J210">
        <v>7</v>
      </c>
      <c r="K210">
        <f t="shared" ca="1" si="34"/>
        <v>51</v>
      </c>
      <c r="L210">
        <f t="shared" ca="1" si="35"/>
        <v>92</v>
      </c>
      <c r="M210">
        <f t="shared" ca="1" si="36"/>
        <v>217</v>
      </c>
      <c r="N210">
        <f t="shared" ca="1" si="36"/>
        <v>13</v>
      </c>
      <c r="O210">
        <f t="shared" ca="1" si="33"/>
        <v>724</v>
      </c>
      <c r="P210">
        <f t="shared" ca="1" si="37"/>
        <v>113</v>
      </c>
      <c r="Q210">
        <f t="shared" ca="1" si="38"/>
        <v>785</v>
      </c>
      <c r="R210">
        <f t="shared" ca="1" si="39"/>
        <v>49</v>
      </c>
      <c r="S210">
        <f t="shared" ca="1" si="40"/>
        <v>2223</v>
      </c>
      <c r="T210">
        <f t="shared" ca="1" si="41"/>
        <v>1441</v>
      </c>
      <c r="U210">
        <f t="shared" ca="1" si="42"/>
        <v>-88</v>
      </c>
      <c r="V210">
        <v>0</v>
      </c>
      <c r="W210">
        <v>0</v>
      </c>
      <c r="X210">
        <f t="shared" ca="1" si="43"/>
        <v>50</v>
      </c>
      <c r="Y210">
        <v>0</v>
      </c>
      <c r="Z210">
        <v>0</v>
      </c>
      <c r="AA210">
        <v>85</v>
      </c>
      <c r="AB210" t="s">
        <v>114</v>
      </c>
      <c r="AC210" t="s">
        <v>119</v>
      </c>
      <c r="AD210">
        <v>1</v>
      </c>
      <c r="AE210">
        <v>52</v>
      </c>
      <c r="AF210">
        <v>265</v>
      </c>
      <c r="AG210" t="s">
        <v>47</v>
      </c>
      <c r="AH210" t="s">
        <v>48</v>
      </c>
      <c r="AI210" t="s">
        <v>49</v>
      </c>
      <c r="AJ210" t="s">
        <v>50</v>
      </c>
      <c r="AK210" t="s">
        <v>51</v>
      </c>
      <c r="AL210">
        <v>3.6726999999999999</v>
      </c>
      <c r="AM210" t="s">
        <v>52</v>
      </c>
      <c r="AN210" t="s">
        <v>93</v>
      </c>
      <c r="AO210" t="s">
        <v>50</v>
      </c>
      <c r="AP210" t="s">
        <v>94</v>
      </c>
      <c r="AQ210" t="s">
        <v>55</v>
      </c>
    </row>
    <row r="211" spans="1:43" x14ac:dyDescent="0.3">
      <c r="A211" t="s">
        <v>43</v>
      </c>
      <c r="B211">
        <v>2020</v>
      </c>
      <c r="C211">
        <v>300</v>
      </c>
      <c r="D211">
        <v>5211</v>
      </c>
      <c r="E211">
        <v>30</v>
      </c>
      <c r="F211">
        <v>202305</v>
      </c>
      <c r="G211">
        <v>3200400</v>
      </c>
      <c r="H211" t="s">
        <v>81</v>
      </c>
      <c r="I211" t="s">
        <v>45</v>
      </c>
      <c r="J211">
        <v>7</v>
      </c>
      <c r="K211">
        <f t="shared" ca="1" si="34"/>
        <v>60</v>
      </c>
      <c r="L211">
        <f t="shared" ca="1" si="35"/>
        <v>8</v>
      </c>
      <c r="M211">
        <f t="shared" ca="1" si="36"/>
        <v>463</v>
      </c>
      <c r="N211">
        <f t="shared" ca="1" si="36"/>
        <v>247</v>
      </c>
      <c r="O211">
        <f t="shared" ca="1" si="33"/>
        <v>403</v>
      </c>
      <c r="P211">
        <f t="shared" ca="1" si="37"/>
        <v>1410</v>
      </c>
      <c r="Q211">
        <f t="shared" ca="1" si="38"/>
        <v>1004</v>
      </c>
      <c r="R211">
        <f t="shared" ca="1" si="39"/>
        <v>-4</v>
      </c>
      <c r="S211">
        <f t="shared" ca="1" si="40"/>
        <v>8461</v>
      </c>
      <c r="T211">
        <f t="shared" ca="1" si="41"/>
        <v>3514</v>
      </c>
      <c r="U211">
        <f t="shared" ca="1" si="42"/>
        <v>895</v>
      </c>
      <c r="V211">
        <v>0</v>
      </c>
      <c r="W211">
        <v>0</v>
      </c>
      <c r="X211">
        <f t="shared" ca="1" si="43"/>
        <v>-470</v>
      </c>
      <c r="Y211">
        <v>0</v>
      </c>
      <c r="Z211">
        <v>-822</v>
      </c>
      <c r="AA211">
        <v>100</v>
      </c>
      <c r="AB211" t="s">
        <v>114</v>
      </c>
      <c r="AC211" t="s">
        <v>120</v>
      </c>
      <c r="AD211">
        <v>1</v>
      </c>
      <c r="AE211">
        <v>52</v>
      </c>
      <c r="AF211">
        <v>265</v>
      </c>
      <c r="AG211" t="s">
        <v>47</v>
      </c>
      <c r="AH211" t="s">
        <v>48</v>
      </c>
      <c r="AI211" t="s">
        <v>49</v>
      </c>
      <c r="AJ211" t="s">
        <v>50</v>
      </c>
      <c r="AK211" t="s">
        <v>51</v>
      </c>
      <c r="AL211">
        <v>3.6726999999999999</v>
      </c>
      <c r="AM211" t="s">
        <v>52</v>
      </c>
      <c r="AN211" t="s">
        <v>93</v>
      </c>
      <c r="AO211" t="s">
        <v>50</v>
      </c>
      <c r="AP211" t="s">
        <v>94</v>
      </c>
      <c r="AQ211" t="s">
        <v>55</v>
      </c>
    </row>
    <row r="212" spans="1:43" x14ac:dyDescent="0.3">
      <c r="A212" t="s">
        <v>43</v>
      </c>
      <c r="B212">
        <v>2020</v>
      </c>
      <c r="C212">
        <v>300</v>
      </c>
      <c r="D212">
        <v>5211</v>
      </c>
      <c r="E212">
        <v>30</v>
      </c>
      <c r="F212">
        <v>202305</v>
      </c>
      <c r="G212">
        <v>3300347</v>
      </c>
      <c r="H212" t="s">
        <v>81</v>
      </c>
      <c r="I212" t="s">
        <v>45</v>
      </c>
      <c r="J212">
        <v>7</v>
      </c>
      <c r="K212">
        <f t="shared" ca="1" si="34"/>
        <v>36</v>
      </c>
      <c r="L212">
        <f t="shared" ca="1" si="35"/>
        <v>-18</v>
      </c>
      <c r="M212">
        <f t="shared" ca="1" si="36"/>
        <v>125</v>
      </c>
      <c r="N212">
        <f t="shared" ca="1" si="36"/>
        <v>311</v>
      </c>
      <c r="O212">
        <f t="shared" ca="1" si="33"/>
        <v>880</v>
      </c>
      <c r="P212">
        <f t="shared" ca="1" si="37"/>
        <v>75</v>
      </c>
      <c r="Q212">
        <f t="shared" ca="1" si="38"/>
        <v>171</v>
      </c>
      <c r="R212">
        <f t="shared" ca="1" si="39"/>
        <v>254</v>
      </c>
      <c r="S212">
        <f t="shared" ca="1" si="40"/>
        <v>7721</v>
      </c>
      <c r="T212">
        <f t="shared" ca="1" si="41"/>
        <v>3834</v>
      </c>
      <c r="U212">
        <f t="shared" ca="1" si="42"/>
        <v>1205</v>
      </c>
      <c r="V212">
        <v>0</v>
      </c>
      <c r="W212">
        <v>0</v>
      </c>
      <c r="X212">
        <f t="shared" ca="1" si="43"/>
        <v>-63</v>
      </c>
      <c r="Y212">
        <v>0</v>
      </c>
      <c r="Z212">
        <v>598</v>
      </c>
      <c r="AA212">
        <v>98</v>
      </c>
      <c r="AB212" t="s">
        <v>91</v>
      </c>
      <c r="AC212" t="s">
        <v>92</v>
      </c>
      <c r="AD212">
        <v>1</v>
      </c>
      <c r="AE212">
        <v>52</v>
      </c>
      <c r="AF212">
        <v>265</v>
      </c>
      <c r="AG212" t="s">
        <v>47</v>
      </c>
      <c r="AH212" t="s">
        <v>48</v>
      </c>
      <c r="AI212" t="s">
        <v>49</v>
      </c>
      <c r="AJ212" t="s">
        <v>50</v>
      </c>
      <c r="AK212" t="s">
        <v>51</v>
      </c>
      <c r="AL212">
        <v>3.6726999999999999</v>
      </c>
      <c r="AM212" t="s">
        <v>52</v>
      </c>
      <c r="AN212" t="s">
        <v>93</v>
      </c>
      <c r="AO212" t="s">
        <v>50</v>
      </c>
      <c r="AP212" t="s">
        <v>94</v>
      </c>
      <c r="AQ212" t="s">
        <v>55</v>
      </c>
    </row>
    <row r="213" spans="1:43" x14ac:dyDescent="0.3">
      <c r="A213" t="s">
        <v>43</v>
      </c>
      <c r="B213">
        <v>2020</v>
      </c>
      <c r="C213">
        <v>300</v>
      </c>
      <c r="D213">
        <v>5211</v>
      </c>
      <c r="E213">
        <v>30</v>
      </c>
      <c r="F213">
        <v>202305</v>
      </c>
      <c r="G213">
        <v>3300351</v>
      </c>
      <c r="H213" t="s">
        <v>81</v>
      </c>
      <c r="I213" t="s">
        <v>45</v>
      </c>
      <c r="J213">
        <v>7</v>
      </c>
      <c r="K213">
        <f t="shared" ca="1" si="34"/>
        <v>34</v>
      </c>
      <c r="L213">
        <f t="shared" ca="1" si="35"/>
        <v>1</v>
      </c>
      <c r="M213">
        <f t="shared" ca="1" si="36"/>
        <v>494</v>
      </c>
      <c r="N213">
        <f t="shared" ca="1" si="36"/>
        <v>483</v>
      </c>
      <c r="O213">
        <f t="shared" ca="1" si="33"/>
        <v>404</v>
      </c>
      <c r="P213">
        <f t="shared" ca="1" si="37"/>
        <v>363</v>
      </c>
      <c r="Q213">
        <f t="shared" ca="1" si="38"/>
        <v>244</v>
      </c>
      <c r="R213">
        <f t="shared" ca="1" si="39"/>
        <v>165</v>
      </c>
      <c r="S213">
        <f t="shared" ca="1" si="40"/>
        <v>1085</v>
      </c>
      <c r="T213">
        <f t="shared" ca="1" si="41"/>
        <v>8984</v>
      </c>
      <c r="U213">
        <f t="shared" ca="1" si="42"/>
        <v>560</v>
      </c>
      <c r="V213">
        <v>0</v>
      </c>
      <c r="W213">
        <v>0</v>
      </c>
      <c r="X213">
        <f t="shared" ca="1" si="43"/>
        <v>-165</v>
      </c>
      <c r="Y213">
        <v>0</v>
      </c>
      <c r="Z213">
        <v>0</v>
      </c>
      <c r="AA213">
        <v>84</v>
      </c>
      <c r="AB213" t="s">
        <v>91</v>
      </c>
      <c r="AC213" t="s">
        <v>121</v>
      </c>
      <c r="AD213">
        <v>1</v>
      </c>
      <c r="AE213">
        <v>52</v>
      </c>
      <c r="AF213">
        <v>265</v>
      </c>
      <c r="AG213" t="s">
        <v>47</v>
      </c>
      <c r="AH213" t="s">
        <v>48</v>
      </c>
      <c r="AI213" t="s">
        <v>49</v>
      </c>
      <c r="AJ213" t="s">
        <v>50</v>
      </c>
      <c r="AK213" t="s">
        <v>51</v>
      </c>
      <c r="AL213">
        <v>3.6726999999999999</v>
      </c>
      <c r="AM213" t="s">
        <v>52</v>
      </c>
      <c r="AN213" t="s">
        <v>93</v>
      </c>
      <c r="AO213" t="s">
        <v>50</v>
      </c>
      <c r="AP213" t="s">
        <v>94</v>
      </c>
      <c r="AQ213" t="s">
        <v>55</v>
      </c>
    </row>
    <row r="214" spans="1:43" x14ac:dyDescent="0.3">
      <c r="A214" t="s">
        <v>43</v>
      </c>
      <c r="B214">
        <v>2020</v>
      </c>
      <c r="C214">
        <v>300</v>
      </c>
      <c r="D214">
        <v>5211</v>
      </c>
      <c r="E214">
        <v>30</v>
      </c>
      <c r="F214">
        <v>202305</v>
      </c>
      <c r="G214">
        <v>5000507</v>
      </c>
      <c r="H214" t="s">
        <v>81</v>
      </c>
      <c r="I214" t="s">
        <v>45</v>
      </c>
      <c r="J214">
        <v>7</v>
      </c>
      <c r="K214">
        <f t="shared" ca="1" si="34"/>
        <v>66</v>
      </c>
      <c r="L214">
        <f t="shared" ca="1" si="35"/>
        <v>3</v>
      </c>
      <c r="M214">
        <f t="shared" ca="1" si="36"/>
        <v>435</v>
      </c>
      <c r="N214">
        <f t="shared" ca="1" si="36"/>
        <v>8</v>
      </c>
      <c r="O214">
        <f t="shared" ca="1" si="33"/>
        <v>-20</v>
      </c>
      <c r="P214">
        <f t="shared" ca="1" si="37"/>
        <v>752</v>
      </c>
      <c r="Q214">
        <f t="shared" ca="1" si="38"/>
        <v>515</v>
      </c>
      <c r="R214">
        <f t="shared" ca="1" si="39"/>
        <v>469</v>
      </c>
      <c r="S214">
        <f t="shared" ca="1" si="40"/>
        <v>5098</v>
      </c>
      <c r="T214">
        <f t="shared" ca="1" si="41"/>
        <v>5426</v>
      </c>
      <c r="U214">
        <f t="shared" ca="1" si="42"/>
        <v>815</v>
      </c>
      <c r="V214">
        <v>0</v>
      </c>
      <c r="W214">
        <v>0</v>
      </c>
      <c r="X214">
        <f t="shared" ca="1" si="43"/>
        <v>-127</v>
      </c>
      <c r="Y214">
        <v>0</v>
      </c>
      <c r="Z214">
        <v>0</v>
      </c>
      <c r="AA214">
        <v>0</v>
      </c>
      <c r="AB214" t="s">
        <v>122</v>
      </c>
      <c r="AC214" t="s">
        <v>123</v>
      </c>
      <c r="AD214">
        <v>1</v>
      </c>
      <c r="AE214">
        <v>52</v>
      </c>
      <c r="AF214">
        <v>265</v>
      </c>
      <c r="AG214" t="s">
        <v>47</v>
      </c>
      <c r="AH214" t="s">
        <v>48</v>
      </c>
      <c r="AI214" t="s">
        <v>49</v>
      </c>
      <c r="AJ214" t="s">
        <v>50</v>
      </c>
      <c r="AK214" t="s">
        <v>51</v>
      </c>
      <c r="AL214">
        <v>3.6726999999999999</v>
      </c>
      <c r="AM214" t="s">
        <v>52</v>
      </c>
      <c r="AN214" t="s">
        <v>93</v>
      </c>
      <c r="AO214" t="s">
        <v>50</v>
      </c>
      <c r="AP214" t="s">
        <v>94</v>
      </c>
      <c r="AQ214" t="s">
        <v>55</v>
      </c>
    </row>
    <row r="215" spans="1:43" x14ac:dyDescent="0.3">
      <c r="A215" t="s">
        <v>43</v>
      </c>
      <c r="B215">
        <v>2020</v>
      </c>
      <c r="C215">
        <v>300</v>
      </c>
      <c r="D215">
        <v>5212</v>
      </c>
      <c r="E215">
        <v>1</v>
      </c>
      <c r="F215">
        <v>202305</v>
      </c>
      <c r="G215">
        <v>4</v>
      </c>
      <c r="H215" t="s">
        <v>56</v>
      </c>
      <c r="I215" t="s">
        <v>45</v>
      </c>
      <c r="J215">
        <v>2</v>
      </c>
      <c r="K215">
        <f t="shared" ca="1" si="34"/>
        <v>17</v>
      </c>
      <c r="L215">
        <f t="shared" ca="1" si="35"/>
        <v>-91</v>
      </c>
      <c r="M215">
        <f t="shared" ca="1" si="36"/>
        <v>53</v>
      </c>
      <c r="N215">
        <f t="shared" ca="1" si="36"/>
        <v>251</v>
      </c>
      <c r="O215">
        <f t="shared" ca="1" si="33"/>
        <v>754</v>
      </c>
      <c r="P215">
        <f t="shared" ca="1" si="37"/>
        <v>21</v>
      </c>
      <c r="Q215">
        <f t="shared" ca="1" si="38"/>
        <v>1001</v>
      </c>
      <c r="R215">
        <f t="shared" ca="1" si="39"/>
        <v>114</v>
      </c>
      <c r="S215">
        <f t="shared" ca="1" si="40"/>
        <v>6992</v>
      </c>
      <c r="T215">
        <f t="shared" ca="1" si="41"/>
        <v>9073</v>
      </c>
      <c r="U215">
        <f t="shared" ca="1" si="42"/>
        <v>773</v>
      </c>
      <c r="V215">
        <v>0</v>
      </c>
      <c r="W215">
        <v>0</v>
      </c>
      <c r="X215">
        <f t="shared" ca="1" si="43"/>
        <v>-337</v>
      </c>
      <c r="Y215">
        <v>0</v>
      </c>
      <c r="Z215">
        <v>0</v>
      </c>
      <c r="AA215">
        <v>100</v>
      </c>
      <c r="AB215" t="s">
        <v>63</v>
      </c>
      <c r="AD215">
        <v>1</v>
      </c>
      <c r="AE215">
        <v>52</v>
      </c>
      <c r="AF215">
        <v>265</v>
      </c>
      <c r="AG215" t="s">
        <v>47</v>
      </c>
      <c r="AH215" t="s">
        <v>48</v>
      </c>
      <c r="AI215" t="s">
        <v>49</v>
      </c>
      <c r="AJ215" t="s">
        <v>50</v>
      </c>
      <c r="AK215" t="s">
        <v>51</v>
      </c>
      <c r="AL215">
        <v>3.6726999999999999</v>
      </c>
      <c r="AM215" t="s">
        <v>52</v>
      </c>
      <c r="AN215" t="s">
        <v>124</v>
      </c>
      <c r="AO215" t="s">
        <v>59</v>
      </c>
      <c r="AP215" t="s">
        <v>48</v>
      </c>
      <c r="AQ215" t="s">
        <v>55</v>
      </c>
    </row>
    <row r="216" spans="1:43" x14ac:dyDescent="0.3">
      <c r="A216" t="s">
        <v>43</v>
      </c>
      <c r="B216">
        <v>2020</v>
      </c>
      <c r="C216">
        <v>300</v>
      </c>
      <c r="D216">
        <v>5212</v>
      </c>
      <c r="E216">
        <v>1</v>
      </c>
      <c r="F216">
        <v>202305</v>
      </c>
      <c r="G216">
        <v>5</v>
      </c>
      <c r="H216" t="s">
        <v>56</v>
      </c>
      <c r="I216" t="s">
        <v>45</v>
      </c>
      <c r="J216">
        <v>2</v>
      </c>
      <c r="K216">
        <f t="shared" ca="1" si="34"/>
        <v>68</v>
      </c>
      <c r="L216">
        <f t="shared" ca="1" si="35"/>
        <v>-93</v>
      </c>
      <c r="M216">
        <f t="shared" ca="1" si="36"/>
        <v>449</v>
      </c>
      <c r="N216">
        <f t="shared" ca="1" si="36"/>
        <v>452</v>
      </c>
      <c r="O216">
        <f t="shared" ca="1" si="33"/>
        <v>151</v>
      </c>
      <c r="P216">
        <f t="shared" ca="1" si="37"/>
        <v>-468</v>
      </c>
      <c r="Q216">
        <f t="shared" ca="1" si="38"/>
        <v>695</v>
      </c>
      <c r="R216">
        <f t="shared" ca="1" si="39"/>
        <v>188</v>
      </c>
      <c r="S216">
        <f t="shared" ca="1" si="40"/>
        <v>5467</v>
      </c>
      <c r="T216">
        <f t="shared" ca="1" si="41"/>
        <v>3637</v>
      </c>
      <c r="U216">
        <f t="shared" ca="1" si="42"/>
        <v>-24</v>
      </c>
      <c r="V216">
        <v>0</v>
      </c>
      <c r="W216">
        <v>0</v>
      </c>
      <c r="X216">
        <f t="shared" ca="1" si="43"/>
        <v>-477</v>
      </c>
      <c r="Y216">
        <v>0</v>
      </c>
      <c r="Z216">
        <v>0</v>
      </c>
      <c r="AA216">
        <v>100</v>
      </c>
      <c r="AB216" t="s">
        <v>64</v>
      </c>
      <c r="AD216">
        <v>1</v>
      </c>
      <c r="AE216">
        <v>52</v>
      </c>
      <c r="AF216">
        <v>265</v>
      </c>
      <c r="AG216" t="s">
        <v>47</v>
      </c>
      <c r="AH216" t="s">
        <v>48</v>
      </c>
      <c r="AI216" t="s">
        <v>49</v>
      </c>
      <c r="AJ216" t="s">
        <v>50</v>
      </c>
      <c r="AK216" t="s">
        <v>51</v>
      </c>
      <c r="AL216">
        <v>3.6726999999999999</v>
      </c>
      <c r="AM216" t="s">
        <v>52</v>
      </c>
      <c r="AN216" t="s">
        <v>124</v>
      </c>
      <c r="AO216" t="s">
        <v>59</v>
      </c>
      <c r="AP216" t="s">
        <v>48</v>
      </c>
      <c r="AQ216" t="s">
        <v>55</v>
      </c>
    </row>
    <row r="217" spans="1:43" x14ac:dyDescent="0.3">
      <c r="A217" t="s">
        <v>43</v>
      </c>
      <c r="B217">
        <v>2020</v>
      </c>
      <c r="C217">
        <v>300</v>
      </c>
      <c r="D217">
        <v>5212</v>
      </c>
      <c r="E217">
        <v>7</v>
      </c>
      <c r="F217">
        <v>202305</v>
      </c>
      <c r="G217">
        <v>1100125</v>
      </c>
      <c r="H217" t="s">
        <v>97</v>
      </c>
      <c r="I217" t="s">
        <v>45</v>
      </c>
      <c r="J217">
        <v>7</v>
      </c>
      <c r="K217">
        <f t="shared" ca="1" si="34"/>
        <v>25</v>
      </c>
      <c r="L217">
        <f t="shared" ca="1" si="35"/>
        <v>67</v>
      </c>
      <c r="M217">
        <f t="shared" ca="1" si="36"/>
        <v>19</v>
      </c>
      <c r="N217">
        <f t="shared" ca="1" si="36"/>
        <v>367</v>
      </c>
      <c r="O217">
        <f t="shared" ca="1" si="33"/>
        <v>392</v>
      </c>
      <c r="P217">
        <f t="shared" ca="1" si="37"/>
        <v>-224</v>
      </c>
      <c r="Q217">
        <f t="shared" ca="1" si="38"/>
        <v>1146</v>
      </c>
      <c r="R217">
        <f t="shared" ca="1" si="39"/>
        <v>123</v>
      </c>
      <c r="S217">
        <f t="shared" ca="1" si="40"/>
        <v>1242</v>
      </c>
      <c r="T217">
        <f t="shared" ca="1" si="41"/>
        <v>7975</v>
      </c>
      <c r="U217">
        <f t="shared" ca="1" si="42"/>
        <v>1292</v>
      </c>
      <c r="V217">
        <v>0</v>
      </c>
      <c r="W217">
        <v>0</v>
      </c>
      <c r="X217">
        <f t="shared" ca="1" si="43"/>
        <v>-333</v>
      </c>
      <c r="Y217">
        <v>0</v>
      </c>
      <c r="Z217">
        <v>203</v>
      </c>
      <c r="AA217">
        <v>100</v>
      </c>
      <c r="AB217" t="s">
        <v>65</v>
      </c>
      <c r="AC217" t="s">
        <v>99</v>
      </c>
      <c r="AD217">
        <v>1</v>
      </c>
      <c r="AE217">
        <v>52</v>
      </c>
      <c r="AF217">
        <v>265</v>
      </c>
      <c r="AG217" t="s">
        <v>47</v>
      </c>
      <c r="AH217" t="s">
        <v>48</v>
      </c>
      <c r="AI217" t="s">
        <v>49</v>
      </c>
      <c r="AJ217" t="s">
        <v>50</v>
      </c>
      <c r="AK217" t="s">
        <v>51</v>
      </c>
      <c r="AL217">
        <v>3.6726999999999999</v>
      </c>
      <c r="AM217" t="s">
        <v>52</v>
      </c>
      <c r="AN217" t="s">
        <v>124</v>
      </c>
      <c r="AO217" t="s">
        <v>45</v>
      </c>
      <c r="AP217" t="s">
        <v>48</v>
      </c>
      <c r="AQ217" t="s">
        <v>55</v>
      </c>
    </row>
    <row r="218" spans="1:43" x14ac:dyDescent="0.3">
      <c r="A218" t="s">
        <v>43</v>
      </c>
      <c r="B218">
        <v>2020</v>
      </c>
      <c r="C218">
        <v>300</v>
      </c>
      <c r="D218">
        <v>5212</v>
      </c>
      <c r="E218">
        <v>7</v>
      </c>
      <c r="F218">
        <v>202305</v>
      </c>
      <c r="G218">
        <v>3100410</v>
      </c>
      <c r="H218" t="s">
        <v>97</v>
      </c>
      <c r="I218" t="s">
        <v>45</v>
      </c>
      <c r="J218">
        <v>7</v>
      </c>
      <c r="K218">
        <f t="shared" ca="1" si="34"/>
        <v>30</v>
      </c>
      <c r="L218">
        <f t="shared" ca="1" si="35"/>
        <v>-91</v>
      </c>
      <c r="M218">
        <f t="shared" ca="1" si="36"/>
        <v>260</v>
      </c>
      <c r="N218">
        <f t="shared" ca="1" si="36"/>
        <v>440</v>
      </c>
      <c r="O218">
        <f t="shared" ca="1" si="33"/>
        <v>346</v>
      </c>
      <c r="P218">
        <f t="shared" ca="1" si="37"/>
        <v>1050</v>
      </c>
      <c r="Q218">
        <f t="shared" ca="1" si="38"/>
        <v>934</v>
      </c>
      <c r="R218">
        <f t="shared" ca="1" si="39"/>
        <v>299</v>
      </c>
      <c r="S218">
        <f t="shared" ca="1" si="40"/>
        <v>7943</v>
      </c>
      <c r="T218">
        <f t="shared" ca="1" si="41"/>
        <v>3860</v>
      </c>
      <c r="U218">
        <f t="shared" ca="1" si="42"/>
        <v>201</v>
      </c>
      <c r="V218">
        <v>0</v>
      </c>
      <c r="W218">
        <v>0</v>
      </c>
      <c r="X218">
        <f t="shared" ca="1" si="43"/>
        <v>-87</v>
      </c>
      <c r="Y218">
        <v>0</v>
      </c>
      <c r="Z218">
        <v>378</v>
      </c>
      <c r="AA218">
        <v>100</v>
      </c>
      <c r="AB218" t="s">
        <v>80</v>
      </c>
      <c r="AC218" t="s">
        <v>100</v>
      </c>
      <c r="AD218">
        <v>1</v>
      </c>
      <c r="AE218">
        <v>52</v>
      </c>
      <c r="AF218">
        <v>265</v>
      </c>
      <c r="AG218" t="s">
        <v>47</v>
      </c>
      <c r="AH218" t="s">
        <v>48</v>
      </c>
      <c r="AI218" t="s">
        <v>49</v>
      </c>
      <c r="AJ218" t="s">
        <v>50</v>
      </c>
      <c r="AK218" t="s">
        <v>51</v>
      </c>
      <c r="AL218">
        <v>3.6726999999999999</v>
      </c>
      <c r="AM218" t="s">
        <v>52</v>
      </c>
      <c r="AN218" t="s">
        <v>124</v>
      </c>
      <c r="AO218" t="s">
        <v>45</v>
      </c>
      <c r="AP218" t="s">
        <v>48</v>
      </c>
      <c r="AQ218" t="s">
        <v>55</v>
      </c>
    </row>
    <row r="219" spans="1:43" x14ac:dyDescent="0.3">
      <c r="A219" t="s">
        <v>43</v>
      </c>
      <c r="B219">
        <v>2020</v>
      </c>
      <c r="C219">
        <v>300</v>
      </c>
      <c r="D219">
        <v>5212</v>
      </c>
      <c r="E219">
        <v>7</v>
      </c>
      <c r="F219">
        <v>202305</v>
      </c>
      <c r="G219">
        <v>3100411</v>
      </c>
      <c r="H219" t="s">
        <v>97</v>
      </c>
      <c r="I219" t="s">
        <v>45</v>
      </c>
      <c r="J219">
        <v>7</v>
      </c>
      <c r="K219">
        <f t="shared" ca="1" si="34"/>
        <v>94</v>
      </c>
      <c r="L219">
        <f t="shared" ca="1" si="35"/>
        <v>67</v>
      </c>
      <c r="M219">
        <f t="shared" ca="1" si="36"/>
        <v>259</v>
      </c>
      <c r="N219">
        <f t="shared" ca="1" si="36"/>
        <v>206</v>
      </c>
      <c r="O219">
        <f t="shared" ca="1" si="33"/>
        <v>775</v>
      </c>
      <c r="P219">
        <f t="shared" ca="1" si="37"/>
        <v>-249</v>
      </c>
      <c r="Q219">
        <f t="shared" ca="1" si="38"/>
        <v>80</v>
      </c>
      <c r="R219">
        <f t="shared" ca="1" si="39"/>
        <v>-87</v>
      </c>
      <c r="S219">
        <f t="shared" ca="1" si="40"/>
        <v>11679</v>
      </c>
      <c r="T219">
        <f t="shared" ca="1" si="41"/>
        <v>6088</v>
      </c>
      <c r="U219">
        <f t="shared" ca="1" si="42"/>
        <v>899</v>
      </c>
      <c r="V219">
        <v>0</v>
      </c>
      <c r="W219">
        <v>0</v>
      </c>
      <c r="X219">
        <f t="shared" ca="1" si="43"/>
        <v>-172</v>
      </c>
      <c r="Y219">
        <v>0</v>
      </c>
      <c r="Z219">
        <v>93</v>
      </c>
      <c r="AA219">
        <v>100</v>
      </c>
      <c r="AB219" t="s">
        <v>80</v>
      </c>
      <c r="AC219" t="s">
        <v>101</v>
      </c>
      <c r="AD219">
        <v>1</v>
      </c>
      <c r="AE219">
        <v>52</v>
      </c>
      <c r="AF219">
        <v>265</v>
      </c>
      <c r="AG219" t="s">
        <v>47</v>
      </c>
      <c r="AH219" t="s">
        <v>48</v>
      </c>
      <c r="AI219" t="s">
        <v>49</v>
      </c>
      <c r="AJ219" t="s">
        <v>50</v>
      </c>
      <c r="AK219" t="s">
        <v>51</v>
      </c>
      <c r="AL219">
        <v>3.6726999999999999</v>
      </c>
      <c r="AM219" t="s">
        <v>52</v>
      </c>
      <c r="AN219" t="s">
        <v>124</v>
      </c>
      <c r="AO219" t="s">
        <v>45</v>
      </c>
      <c r="AP219" t="s">
        <v>48</v>
      </c>
      <c r="AQ219" t="s">
        <v>55</v>
      </c>
    </row>
    <row r="220" spans="1:43" x14ac:dyDescent="0.3">
      <c r="A220" t="s">
        <v>43</v>
      </c>
      <c r="B220">
        <v>2020</v>
      </c>
      <c r="C220">
        <v>300</v>
      </c>
      <c r="D220">
        <v>5212</v>
      </c>
      <c r="E220">
        <v>7</v>
      </c>
      <c r="F220">
        <v>202305</v>
      </c>
      <c r="G220">
        <v>3100412</v>
      </c>
      <c r="H220" t="s">
        <v>97</v>
      </c>
      <c r="I220" t="s">
        <v>45</v>
      </c>
      <c r="J220">
        <v>7</v>
      </c>
      <c r="K220">
        <f t="shared" ca="1" si="34"/>
        <v>75</v>
      </c>
      <c r="L220">
        <f t="shared" ca="1" si="35"/>
        <v>-13</v>
      </c>
      <c r="M220">
        <f t="shared" ca="1" si="36"/>
        <v>358</v>
      </c>
      <c r="N220">
        <f t="shared" ca="1" si="36"/>
        <v>334</v>
      </c>
      <c r="O220">
        <f t="shared" ca="1" si="33"/>
        <v>977</v>
      </c>
      <c r="P220">
        <f t="shared" ca="1" si="37"/>
        <v>-415</v>
      </c>
      <c r="Q220">
        <f t="shared" ca="1" si="38"/>
        <v>533</v>
      </c>
      <c r="R220">
        <f t="shared" ca="1" si="39"/>
        <v>179</v>
      </c>
      <c r="S220">
        <f t="shared" ca="1" si="40"/>
        <v>5332</v>
      </c>
      <c r="T220">
        <f t="shared" ca="1" si="41"/>
        <v>869</v>
      </c>
      <c r="U220">
        <f t="shared" ca="1" si="42"/>
        <v>109</v>
      </c>
      <c r="V220">
        <v>0</v>
      </c>
      <c r="W220">
        <v>0</v>
      </c>
      <c r="X220">
        <f t="shared" ca="1" si="43"/>
        <v>48</v>
      </c>
      <c r="Y220">
        <v>0</v>
      </c>
      <c r="Z220">
        <v>134</v>
      </c>
      <c r="AA220">
        <v>100</v>
      </c>
      <c r="AB220" t="s">
        <v>80</v>
      </c>
      <c r="AC220" t="s">
        <v>107</v>
      </c>
      <c r="AD220">
        <v>1</v>
      </c>
      <c r="AE220">
        <v>52</v>
      </c>
      <c r="AF220">
        <v>265</v>
      </c>
      <c r="AG220" t="s">
        <v>47</v>
      </c>
      <c r="AH220" t="s">
        <v>48</v>
      </c>
      <c r="AI220" t="s">
        <v>49</v>
      </c>
      <c r="AJ220" t="s">
        <v>50</v>
      </c>
      <c r="AK220" t="s">
        <v>51</v>
      </c>
      <c r="AL220">
        <v>3.6726999999999999</v>
      </c>
      <c r="AM220" t="s">
        <v>52</v>
      </c>
      <c r="AN220" t="s">
        <v>124</v>
      </c>
      <c r="AO220" t="s">
        <v>45</v>
      </c>
      <c r="AP220" t="s">
        <v>48</v>
      </c>
      <c r="AQ220" t="s">
        <v>55</v>
      </c>
    </row>
    <row r="221" spans="1:43" x14ac:dyDescent="0.3">
      <c r="A221" t="s">
        <v>43</v>
      </c>
      <c r="B221">
        <v>2020</v>
      </c>
      <c r="C221">
        <v>300</v>
      </c>
      <c r="D221">
        <v>5212</v>
      </c>
      <c r="E221">
        <v>9</v>
      </c>
      <c r="F221">
        <v>202305</v>
      </c>
      <c r="G221">
        <v>1</v>
      </c>
      <c r="H221" t="s">
        <v>77</v>
      </c>
      <c r="I221" t="s">
        <v>45</v>
      </c>
      <c r="J221">
        <v>2</v>
      </c>
      <c r="K221">
        <f t="shared" ca="1" si="34"/>
        <v>59</v>
      </c>
      <c r="L221">
        <f t="shared" ca="1" si="35"/>
        <v>33</v>
      </c>
      <c r="M221">
        <f t="shared" ca="1" si="36"/>
        <v>161</v>
      </c>
      <c r="N221">
        <f t="shared" ca="1" si="36"/>
        <v>325</v>
      </c>
      <c r="O221">
        <f t="shared" ca="1" si="33"/>
        <v>546</v>
      </c>
      <c r="P221">
        <f t="shared" ca="1" si="37"/>
        <v>787</v>
      </c>
      <c r="Q221">
        <f t="shared" ca="1" si="38"/>
        <v>647</v>
      </c>
      <c r="R221">
        <f t="shared" ca="1" si="39"/>
        <v>365</v>
      </c>
      <c r="S221">
        <f t="shared" ca="1" si="40"/>
        <v>236</v>
      </c>
      <c r="T221">
        <f t="shared" ca="1" si="41"/>
        <v>7292</v>
      </c>
      <c r="U221">
        <f t="shared" ca="1" si="42"/>
        <v>1151</v>
      </c>
      <c r="V221">
        <v>0</v>
      </c>
      <c r="W221">
        <v>0</v>
      </c>
      <c r="X221">
        <f t="shared" ca="1" si="43"/>
        <v>-176</v>
      </c>
      <c r="Y221">
        <v>0</v>
      </c>
      <c r="Z221">
        <v>13499</v>
      </c>
      <c r="AA221">
        <v>100</v>
      </c>
      <c r="AB221" t="s">
        <v>57</v>
      </c>
      <c r="AD221">
        <v>1</v>
      </c>
      <c r="AE221">
        <v>52</v>
      </c>
      <c r="AF221">
        <v>265</v>
      </c>
      <c r="AG221" t="s">
        <v>47</v>
      </c>
      <c r="AH221" t="s">
        <v>48</v>
      </c>
      <c r="AI221" t="s">
        <v>49</v>
      </c>
      <c r="AJ221" t="s">
        <v>50</v>
      </c>
      <c r="AK221" t="s">
        <v>51</v>
      </c>
      <c r="AL221">
        <v>3.6726999999999999</v>
      </c>
      <c r="AM221" t="s">
        <v>52</v>
      </c>
      <c r="AN221" t="s">
        <v>124</v>
      </c>
      <c r="AO221" t="s">
        <v>78</v>
      </c>
      <c r="AP221" t="s">
        <v>48</v>
      </c>
      <c r="AQ221" t="s">
        <v>55</v>
      </c>
    </row>
    <row r="222" spans="1:43" x14ac:dyDescent="0.3">
      <c r="A222" t="s">
        <v>43</v>
      </c>
      <c r="B222">
        <v>2020</v>
      </c>
      <c r="C222">
        <v>300</v>
      </c>
      <c r="D222">
        <v>5212</v>
      </c>
      <c r="E222">
        <v>9</v>
      </c>
      <c r="F222">
        <v>202305</v>
      </c>
      <c r="G222">
        <v>2</v>
      </c>
      <c r="H222" t="s">
        <v>77</v>
      </c>
      <c r="I222" t="s">
        <v>45</v>
      </c>
      <c r="J222">
        <v>2</v>
      </c>
      <c r="K222">
        <f t="shared" ca="1" si="34"/>
        <v>39</v>
      </c>
      <c r="L222">
        <f t="shared" ca="1" si="35"/>
        <v>0</v>
      </c>
      <c r="M222">
        <f t="shared" ca="1" si="36"/>
        <v>396</v>
      </c>
      <c r="N222">
        <f t="shared" ca="1" si="36"/>
        <v>59</v>
      </c>
      <c r="O222">
        <f t="shared" ca="1" si="33"/>
        <v>677</v>
      </c>
      <c r="P222">
        <f t="shared" ca="1" si="37"/>
        <v>1393</v>
      </c>
      <c r="Q222">
        <f t="shared" ca="1" si="38"/>
        <v>845</v>
      </c>
      <c r="R222">
        <f t="shared" ca="1" si="39"/>
        <v>159</v>
      </c>
      <c r="S222">
        <f t="shared" ca="1" si="40"/>
        <v>3171</v>
      </c>
      <c r="T222">
        <f t="shared" ca="1" si="41"/>
        <v>4435</v>
      </c>
      <c r="U222">
        <f t="shared" ca="1" si="42"/>
        <v>1037</v>
      </c>
      <c r="V222">
        <v>0</v>
      </c>
      <c r="W222">
        <v>0</v>
      </c>
      <c r="X222">
        <f t="shared" ca="1" si="43"/>
        <v>11</v>
      </c>
      <c r="Y222">
        <v>0</v>
      </c>
      <c r="Z222">
        <v>17213</v>
      </c>
      <c r="AA222">
        <v>100</v>
      </c>
      <c r="AB222" t="s">
        <v>61</v>
      </c>
      <c r="AD222">
        <v>1</v>
      </c>
      <c r="AE222">
        <v>52</v>
      </c>
      <c r="AF222">
        <v>265</v>
      </c>
      <c r="AG222" t="s">
        <v>47</v>
      </c>
      <c r="AH222" t="s">
        <v>48</v>
      </c>
      <c r="AI222" t="s">
        <v>49</v>
      </c>
      <c r="AJ222" t="s">
        <v>50</v>
      </c>
      <c r="AK222" t="s">
        <v>51</v>
      </c>
      <c r="AL222">
        <v>3.6726999999999999</v>
      </c>
      <c r="AM222" t="s">
        <v>52</v>
      </c>
      <c r="AN222" t="s">
        <v>124</v>
      </c>
      <c r="AO222" t="s">
        <v>78</v>
      </c>
      <c r="AP222" t="s">
        <v>48</v>
      </c>
      <c r="AQ222" t="s">
        <v>55</v>
      </c>
    </row>
    <row r="223" spans="1:43" x14ac:dyDescent="0.3">
      <c r="A223" t="s">
        <v>43</v>
      </c>
      <c r="B223">
        <v>2020</v>
      </c>
      <c r="C223">
        <v>300</v>
      </c>
      <c r="D223">
        <v>5212</v>
      </c>
      <c r="E223">
        <v>9</v>
      </c>
      <c r="F223">
        <v>202305</v>
      </c>
      <c r="G223">
        <v>3</v>
      </c>
      <c r="H223" t="s">
        <v>77</v>
      </c>
      <c r="I223" t="s">
        <v>45</v>
      </c>
      <c r="J223">
        <v>2</v>
      </c>
      <c r="K223">
        <f t="shared" ca="1" si="34"/>
        <v>51</v>
      </c>
      <c r="L223">
        <f t="shared" ca="1" si="35"/>
        <v>14</v>
      </c>
      <c r="M223">
        <f t="shared" ca="1" si="36"/>
        <v>441</v>
      </c>
      <c r="N223">
        <f t="shared" ca="1" si="36"/>
        <v>43</v>
      </c>
      <c r="O223">
        <f t="shared" ca="1" si="33"/>
        <v>212</v>
      </c>
      <c r="P223">
        <f t="shared" ca="1" si="37"/>
        <v>1357</v>
      </c>
      <c r="Q223">
        <f t="shared" ca="1" si="38"/>
        <v>629</v>
      </c>
      <c r="R223">
        <f t="shared" ca="1" si="39"/>
        <v>89</v>
      </c>
      <c r="S223">
        <f t="shared" ca="1" si="40"/>
        <v>14417</v>
      </c>
      <c r="T223">
        <f t="shared" ca="1" si="41"/>
        <v>8476</v>
      </c>
      <c r="U223">
        <f t="shared" ca="1" si="42"/>
        <v>-41</v>
      </c>
      <c r="V223">
        <v>0</v>
      </c>
      <c r="W223">
        <v>0</v>
      </c>
      <c r="X223">
        <f t="shared" ca="1" si="43"/>
        <v>-49</v>
      </c>
      <c r="Y223">
        <v>0</v>
      </c>
      <c r="Z223">
        <v>1798</v>
      </c>
      <c r="AA223">
        <v>100</v>
      </c>
      <c r="AB223" t="s">
        <v>62</v>
      </c>
      <c r="AD223">
        <v>1</v>
      </c>
      <c r="AE223">
        <v>52</v>
      </c>
      <c r="AF223">
        <v>265</v>
      </c>
      <c r="AG223" t="s">
        <v>47</v>
      </c>
      <c r="AH223" t="s">
        <v>48</v>
      </c>
      <c r="AI223" t="s">
        <v>49</v>
      </c>
      <c r="AJ223" t="s">
        <v>50</v>
      </c>
      <c r="AK223" t="s">
        <v>51</v>
      </c>
      <c r="AL223">
        <v>3.6726999999999999</v>
      </c>
      <c r="AM223" t="s">
        <v>52</v>
      </c>
      <c r="AN223" t="s">
        <v>124</v>
      </c>
      <c r="AO223" t="s">
        <v>78</v>
      </c>
      <c r="AP223" t="s">
        <v>48</v>
      </c>
      <c r="AQ223" t="s">
        <v>55</v>
      </c>
    </row>
    <row r="224" spans="1:43" x14ac:dyDescent="0.3">
      <c r="A224" t="s">
        <v>43</v>
      </c>
      <c r="B224">
        <v>2020</v>
      </c>
      <c r="C224">
        <v>300</v>
      </c>
      <c r="D224">
        <v>5212</v>
      </c>
      <c r="E224">
        <v>9</v>
      </c>
      <c r="F224">
        <v>202305</v>
      </c>
      <c r="G224">
        <v>11</v>
      </c>
      <c r="H224" t="s">
        <v>77</v>
      </c>
      <c r="I224" t="s">
        <v>45</v>
      </c>
      <c r="J224">
        <v>2</v>
      </c>
      <c r="K224">
        <f t="shared" ca="1" si="34"/>
        <v>22</v>
      </c>
      <c r="L224">
        <f t="shared" ca="1" si="35"/>
        <v>54</v>
      </c>
      <c r="M224">
        <f t="shared" ca="1" si="36"/>
        <v>125</v>
      </c>
      <c r="N224">
        <f t="shared" ca="1" si="36"/>
        <v>250</v>
      </c>
      <c r="O224">
        <f t="shared" ca="1" si="33"/>
        <v>283</v>
      </c>
      <c r="P224">
        <f t="shared" ca="1" si="37"/>
        <v>582</v>
      </c>
      <c r="Q224">
        <f t="shared" ca="1" si="38"/>
        <v>1157</v>
      </c>
      <c r="R224">
        <f t="shared" ca="1" si="39"/>
        <v>481</v>
      </c>
      <c r="S224">
        <f t="shared" ca="1" si="40"/>
        <v>1600</v>
      </c>
      <c r="T224">
        <f t="shared" ca="1" si="41"/>
        <v>8640</v>
      </c>
      <c r="U224">
        <f t="shared" ca="1" si="42"/>
        <v>-18</v>
      </c>
      <c r="V224">
        <v>0</v>
      </c>
      <c r="W224">
        <v>0</v>
      </c>
      <c r="X224">
        <f t="shared" ca="1" si="43"/>
        <v>-6</v>
      </c>
      <c r="Y224">
        <v>0</v>
      </c>
      <c r="Z224">
        <v>322</v>
      </c>
      <c r="AA224">
        <v>100</v>
      </c>
      <c r="AB224" t="s">
        <v>65</v>
      </c>
      <c r="AD224">
        <v>1</v>
      </c>
      <c r="AE224">
        <v>52</v>
      </c>
      <c r="AF224">
        <v>265</v>
      </c>
      <c r="AG224" t="s">
        <v>47</v>
      </c>
      <c r="AH224" t="s">
        <v>48</v>
      </c>
      <c r="AI224" t="s">
        <v>49</v>
      </c>
      <c r="AJ224" t="s">
        <v>50</v>
      </c>
      <c r="AK224" t="s">
        <v>51</v>
      </c>
      <c r="AL224">
        <v>3.6726999999999999</v>
      </c>
      <c r="AM224" t="s">
        <v>52</v>
      </c>
      <c r="AN224" t="s">
        <v>124</v>
      </c>
      <c r="AO224" t="s">
        <v>78</v>
      </c>
      <c r="AP224" t="s">
        <v>48</v>
      </c>
      <c r="AQ224" t="s">
        <v>55</v>
      </c>
    </row>
    <row r="225" spans="1:43" x14ac:dyDescent="0.3">
      <c r="A225" t="s">
        <v>43</v>
      </c>
      <c r="B225">
        <v>2020</v>
      </c>
      <c r="C225">
        <v>300</v>
      </c>
      <c r="D225">
        <v>5212</v>
      </c>
      <c r="E225">
        <v>9</v>
      </c>
      <c r="F225">
        <v>202305</v>
      </c>
      <c r="G225">
        <v>31</v>
      </c>
      <c r="H225" t="s">
        <v>77</v>
      </c>
      <c r="I225" t="s">
        <v>45</v>
      </c>
      <c r="J225">
        <v>2</v>
      </c>
      <c r="K225">
        <f t="shared" ca="1" si="34"/>
        <v>96</v>
      </c>
      <c r="L225">
        <f t="shared" ca="1" si="35"/>
        <v>18</v>
      </c>
      <c r="M225">
        <f t="shared" ca="1" si="36"/>
        <v>120</v>
      </c>
      <c r="N225">
        <f t="shared" ca="1" si="36"/>
        <v>96</v>
      </c>
      <c r="O225">
        <f t="shared" ca="1" si="33"/>
        <v>983</v>
      </c>
      <c r="P225">
        <f t="shared" ca="1" si="37"/>
        <v>104</v>
      </c>
      <c r="Q225">
        <f t="shared" ca="1" si="38"/>
        <v>1012</v>
      </c>
      <c r="R225">
        <f t="shared" ca="1" si="39"/>
        <v>42</v>
      </c>
      <c r="S225">
        <f t="shared" ca="1" si="40"/>
        <v>1910</v>
      </c>
      <c r="T225">
        <f t="shared" ca="1" si="41"/>
        <v>2647</v>
      </c>
      <c r="U225">
        <f t="shared" ca="1" si="42"/>
        <v>1124</v>
      </c>
      <c r="V225">
        <v>0</v>
      </c>
      <c r="W225">
        <v>0</v>
      </c>
      <c r="X225">
        <f t="shared" ca="1" si="43"/>
        <v>-5</v>
      </c>
      <c r="Y225">
        <v>0</v>
      </c>
      <c r="Z225">
        <v>28738</v>
      </c>
      <c r="AA225">
        <v>100</v>
      </c>
      <c r="AB225" t="s">
        <v>80</v>
      </c>
      <c r="AD225">
        <v>1</v>
      </c>
      <c r="AE225">
        <v>52</v>
      </c>
      <c r="AF225">
        <v>265</v>
      </c>
      <c r="AG225" t="s">
        <v>47</v>
      </c>
      <c r="AH225" t="s">
        <v>48</v>
      </c>
      <c r="AI225" t="s">
        <v>49</v>
      </c>
      <c r="AJ225" t="s">
        <v>50</v>
      </c>
      <c r="AK225" t="s">
        <v>51</v>
      </c>
      <c r="AL225">
        <v>3.6726999999999999</v>
      </c>
      <c r="AM225" t="s">
        <v>52</v>
      </c>
      <c r="AN225" t="s">
        <v>124</v>
      </c>
      <c r="AO225" t="s">
        <v>78</v>
      </c>
      <c r="AP225" t="s">
        <v>48</v>
      </c>
      <c r="AQ225" t="s">
        <v>55</v>
      </c>
    </row>
    <row r="226" spans="1:43" x14ac:dyDescent="0.3">
      <c r="A226" t="s">
        <v>43</v>
      </c>
      <c r="B226">
        <v>2020</v>
      </c>
      <c r="C226">
        <v>300</v>
      </c>
      <c r="D226">
        <v>5212</v>
      </c>
      <c r="E226">
        <v>15</v>
      </c>
      <c r="F226">
        <v>202305</v>
      </c>
      <c r="G226">
        <v>3100303</v>
      </c>
      <c r="H226" t="s">
        <v>104</v>
      </c>
      <c r="I226" t="s">
        <v>45</v>
      </c>
      <c r="J226">
        <v>7</v>
      </c>
      <c r="K226">
        <f t="shared" ca="1" si="34"/>
        <v>34</v>
      </c>
      <c r="L226">
        <f t="shared" ca="1" si="35"/>
        <v>-38</v>
      </c>
      <c r="M226">
        <f t="shared" ca="1" si="36"/>
        <v>120</v>
      </c>
      <c r="N226">
        <f t="shared" ca="1" si="36"/>
        <v>104</v>
      </c>
      <c r="O226">
        <f t="shared" ca="1" si="33"/>
        <v>911</v>
      </c>
      <c r="P226">
        <f t="shared" ca="1" si="37"/>
        <v>890</v>
      </c>
      <c r="Q226">
        <f t="shared" ca="1" si="38"/>
        <v>610</v>
      </c>
      <c r="R226">
        <f t="shared" ca="1" si="39"/>
        <v>488</v>
      </c>
      <c r="S226">
        <f t="shared" ca="1" si="40"/>
        <v>4556</v>
      </c>
      <c r="T226">
        <f t="shared" ca="1" si="41"/>
        <v>3566</v>
      </c>
      <c r="U226">
        <f t="shared" ca="1" si="42"/>
        <v>1170</v>
      </c>
      <c r="V226">
        <v>0</v>
      </c>
      <c r="W226">
        <v>0</v>
      </c>
      <c r="X226">
        <f t="shared" ca="1" si="43"/>
        <v>-330</v>
      </c>
      <c r="Y226">
        <v>0</v>
      </c>
      <c r="Z226">
        <v>195</v>
      </c>
      <c r="AA226">
        <v>100</v>
      </c>
      <c r="AB226" t="s">
        <v>80</v>
      </c>
      <c r="AC226" t="s">
        <v>83</v>
      </c>
      <c r="AD226">
        <v>1</v>
      </c>
      <c r="AE226">
        <v>52</v>
      </c>
      <c r="AF226">
        <v>265</v>
      </c>
      <c r="AG226" t="s">
        <v>47</v>
      </c>
      <c r="AH226" t="s">
        <v>48</v>
      </c>
      <c r="AI226" t="s">
        <v>49</v>
      </c>
      <c r="AJ226" t="s">
        <v>50</v>
      </c>
      <c r="AK226" t="s">
        <v>51</v>
      </c>
      <c r="AL226">
        <v>3.6726999999999999</v>
      </c>
      <c r="AM226" t="s">
        <v>52</v>
      </c>
      <c r="AN226" t="s">
        <v>124</v>
      </c>
      <c r="AO226" t="s">
        <v>54</v>
      </c>
      <c r="AP226" t="s">
        <v>48</v>
      </c>
      <c r="AQ226" t="s">
        <v>55</v>
      </c>
    </row>
    <row r="227" spans="1:43" x14ac:dyDescent="0.3">
      <c r="A227" t="s">
        <v>43</v>
      </c>
      <c r="B227">
        <v>2020</v>
      </c>
      <c r="C227">
        <v>300</v>
      </c>
      <c r="D227">
        <v>5212</v>
      </c>
      <c r="E227">
        <v>15</v>
      </c>
      <c r="F227">
        <v>202305</v>
      </c>
      <c r="G227">
        <v>3100412</v>
      </c>
      <c r="H227" t="s">
        <v>104</v>
      </c>
      <c r="I227" t="s">
        <v>45</v>
      </c>
      <c r="J227">
        <v>7</v>
      </c>
      <c r="K227">
        <f t="shared" ca="1" si="34"/>
        <v>98</v>
      </c>
      <c r="L227">
        <f t="shared" ca="1" si="35"/>
        <v>87</v>
      </c>
      <c r="M227">
        <f t="shared" ca="1" si="36"/>
        <v>-98</v>
      </c>
      <c r="N227">
        <f t="shared" ca="1" si="36"/>
        <v>-19</v>
      </c>
      <c r="O227">
        <f t="shared" ca="1" si="33"/>
        <v>-50</v>
      </c>
      <c r="P227">
        <f t="shared" ca="1" si="37"/>
        <v>1144</v>
      </c>
      <c r="Q227">
        <f t="shared" ca="1" si="38"/>
        <v>773</v>
      </c>
      <c r="R227">
        <f t="shared" ca="1" si="39"/>
        <v>486</v>
      </c>
      <c r="S227">
        <f t="shared" ca="1" si="40"/>
        <v>10712</v>
      </c>
      <c r="T227">
        <f t="shared" ca="1" si="41"/>
        <v>8469</v>
      </c>
      <c r="U227">
        <f t="shared" ca="1" si="42"/>
        <v>969</v>
      </c>
      <c r="V227">
        <v>0</v>
      </c>
      <c r="W227">
        <v>0</v>
      </c>
      <c r="X227">
        <f t="shared" ca="1" si="43"/>
        <v>-375</v>
      </c>
      <c r="Y227">
        <v>0</v>
      </c>
      <c r="Z227">
        <v>2224</v>
      </c>
      <c r="AA227">
        <v>100</v>
      </c>
      <c r="AB227" t="s">
        <v>80</v>
      </c>
      <c r="AC227" t="s">
        <v>107</v>
      </c>
      <c r="AD227">
        <v>1</v>
      </c>
      <c r="AE227">
        <v>52</v>
      </c>
      <c r="AF227">
        <v>265</v>
      </c>
      <c r="AG227" t="s">
        <v>47</v>
      </c>
      <c r="AH227" t="s">
        <v>48</v>
      </c>
      <c r="AI227" t="s">
        <v>49</v>
      </c>
      <c r="AJ227" t="s">
        <v>50</v>
      </c>
      <c r="AK227" t="s">
        <v>51</v>
      </c>
      <c r="AL227">
        <v>3.6726999999999999</v>
      </c>
      <c r="AM227" t="s">
        <v>52</v>
      </c>
      <c r="AN227" t="s">
        <v>124</v>
      </c>
      <c r="AO227" t="s">
        <v>54</v>
      </c>
      <c r="AP227" t="s">
        <v>48</v>
      </c>
      <c r="AQ227" t="s">
        <v>55</v>
      </c>
    </row>
    <row r="228" spans="1:43" x14ac:dyDescent="0.3">
      <c r="A228" t="s">
        <v>43</v>
      </c>
      <c r="B228">
        <v>2020</v>
      </c>
      <c r="C228">
        <v>300</v>
      </c>
      <c r="D228">
        <v>5212</v>
      </c>
      <c r="E228">
        <v>15</v>
      </c>
      <c r="F228">
        <v>202305</v>
      </c>
      <c r="G228">
        <v>3100413</v>
      </c>
      <c r="H228" t="s">
        <v>104</v>
      </c>
      <c r="I228" t="s">
        <v>45</v>
      </c>
      <c r="J228">
        <v>7</v>
      </c>
      <c r="K228">
        <f t="shared" ca="1" si="34"/>
        <v>12</v>
      </c>
      <c r="L228">
        <f t="shared" ca="1" si="35"/>
        <v>-59</v>
      </c>
      <c r="M228">
        <f t="shared" ca="1" si="36"/>
        <v>-70</v>
      </c>
      <c r="N228">
        <f t="shared" ca="1" si="36"/>
        <v>42</v>
      </c>
      <c r="O228">
        <f t="shared" ca="1" si="33"/>
        <v>34</v>
      </c>
      <c r="P228">
        <f t="shared" ca="1" si="37"/>
        <v>730</v>
      </c>
      <c r="Q228">
        <f t="shared" ca="1" si="38"/>
        <v>67</v>
      </c>
      <c r="R228">
        <f t="shared" ca="1" si="39"/>
        <v>131</v>
      </c>
      <c r="S228">
        <f t="shared" ca="1" si="40"/>
        <v>2824</v>
      </c>
      <c r="T228">
        <f t="shared" ca="1" si="41"/>
        <v>9036</v>
      </c>
      <c r="U228">
        <f t="shared" ca="1" si="42"/>
        <v>-96</v>
      </c>
      <c r="V228">
        <v>0</v>
      </c>
      <c r="W228">
        <v>0</v>
      </c>
      <c r="X228">
        <f t="shared" ca="1" si="43"/>
        <v>-442</v>
      </c>
      <c r="Y228">
        <v>0</v>
      </c>
      <c r="Z228">
        <v>2246</v>
      </c>
      <c r="AA228">
        <v>100</v>
      </c>
      <c r="AB228" t="s">
        <v>80</v>
      </c>
      <c r="AC228" t="s">
        <v>108</v>
      </c>
      <c r="AD228">
        <v>1</v>
      </c>
      <c r="AE228">
        <v>52</v>
      </c>
      <c r="AF228">
        <v>265</v>
      </c>
      <c r="AG228" t="s">
        <v>47</v>
      </c>
      <c r="AH228" t="s">
        <v>48</v>
      </c>
      <c r="AI228" t="s">
        <v>49</v>
      </c>
      <c r="AJ228" t="s">
        <v>50</v>
      </c>
      <c r="AK228" t="s">
        <v>51</v>
      </c>
      <c r="AL228">
        <v>3.6726999999999999</v>
      </c>
      <c r="AM228" t="s">
        <v>52</v>
      </c>
      <c r="AN228" t="s">
        <v>124</v>
      </c>
      <c r="AO228" t="s">
        <v>54</v>
      </c>
      <c r="AP228" t="s">
        <v>48</v>
      </c>
      <c r="AQ228" t="s">
        <v>55</v>
      </c>
    </row>
    <row r="229" spans="1:43" x14ac:dyDescent="0.3">
      <c r="A229" t="s">
        <v>43</v>
      </c>
      <c r="B229">
        <v>2020</v>
      </c>
      <c r="C229">
        <v>300</v>
      </c>
      <c r="D229">
        <v>5212</v>
      </c>
      <c r="E229">
        <v>15</v>
      </c>
      <c r="F229">
        <v>202305</v>
      </c>
      <c r="G229">
        <v>3100414</v>
      </c>
      <c r="H229" t="s">
        <v>104</v>
      </c>
      <c r="I229" t="s">
        <v>45</v>
      </c>
      <c r="J229">
        <v>7</v>
      </c>
      <c r="K229">
        <f t="shared" ca="1" si="34"/>
        <v>66</v>
      </c>
      <c r="L229">
        <f t="shared" ca="1" si="35"/>
        <v>7</v>
      </c>
      <c r="M229">
        <f t="shared" ca="1" si="36"/>
        <v>60</v>
      </c>
      <c r="N229">
        <f t="shared" ca="1" si="36"/>
        <v>401</v>
      </c>
      <c r="O229">
        <f t="shared" ca="1" si="33"/>
        <v>834</v>
      </c>
      <c r="P229">
        <f t="shared" ca="1" si="37"/>
        <v>181</v>
      </c>
      <c r="Q229">
        <f t="shared" ca="1" si="38"/>
        <v>1177</v>
      </c>
      <c r="R229">
        <f t="shared" ca="1" si="39"/>
        <v>117</v>
      </c>
      <c r="S229">
        <f t="shared" ca="1" si="40"/>
        <v>4938</v>
      </c>
      <c r="T229">
        <f t="shared" ca="1" si="41"/>
        <v>1281</v>
      </c>
      <c r="U229">
        <f t="shared" ca="1" si="42"/>
        <v>443</v>
      </c>
      <c r="V229">
        <v>0</v>
      </c>
      <c r="W229">
        <v>0</v>
      </c>
      <c r="X229">
        <f t="shared" ca="1" si="43"/>
        <v>-53</v>
      </c>
      <c r="Y229">
        <v>0</v>
      </c>
      <c r="Z229">
        <v>1886</v>
      </c>
      <c r="AA229">
        <v>100</v>
      </c>
      <c r="AB229" t="s">
        <v>80</v>
      </c>
      <c r="AC229" t="s">
        <v>109</v>
      </c>
      <c r="AD229">
        <v>1</v>
      </c>
      <c r="AE229">
        <v>52</v>
      </c>
      <c r="AF229">
        <v>265</v>
      </c>
      <c r="AG229" t="s">
        <v>47</v>
      </c>
      <c r="AH229" t="s">
        <v>48</v>
      </c>
      <c r="AI229" t="s">
        <v>49</v>
      </c>
      <c r="AJ229" t="s">
        <v>50</v>
      </c>
      <c r="AK229" t="s">
        <v>51</v>
      </c>
      <c r="AL229">
        <v>3.6726999999999999</v>
      </c>
      <c r="AM229" t="s">
        <v>52</v>
      </c>
      <c r="AN229" t="s">
        <v>124</v>
      </c>
      <c r="AO229" t="s">
        <v>54</v>
      </c>
      <c r="AP229" t="s">
        <v>48</v>
      </c>
      <c r="AQ229" t="s">
        <v>55</v>
      </c>
    </row>
    <row r="230" spans="1:43" x14ac:dyDescent="0.3">
      <c r="A230" t="s">
        <v>43</v>
      </c>
      <c r="B230">
        <v>2020</v>
      </c>
      <c r="C230">
        <v>300</v>
      </c>
      <c r="D230">
        <v>5212</v>
      </c>
      <c r="E230">
        <v>30</v>
      </c>
      <c r="F230">
        <v>202305</v>
      </c>
      <c r="G230">
        <v>3100302</v>
      </c>
      <c r="H230" t="s">
        <v>81</v>
      </c>
      <c r="I230" t="s">
        <v>45</v>
      </c>
      <c r="J230">
        <v>7</v>
      </c>
      <c r="K230">
        <f t="shared" ca="1" si="34"/>
        <v>0</v>
      </c>
      <c r="L230">
        <f t="shared" ca="1" si="35"/>
        <v>-26</v>
      </c>
      <c r="M230">
        <f t="shared" ca="1" si="36"/>
        <v>-51</v>
      </c>
      <c r="N230">
        <f t="shared" ca="1" si="36"/>
        <v>369</v>
      </c>
      <c r="O230">
        <f t="shared" ca="1" si="33"/>
        <v>195</v>
      </c>
      <c r="P230">
        <f t="shared" ca="1" si="37"/>
        <v>411</v>
      </c>
      <c r="Q230">
        <f t="shared" ca="1" si="38"/>
        <v>1153</v>
      </c>
      <c r="R230">
        <f t="shared" ca="1" si="39"/>
        <v>320</v>
      </c>
      <c r="S230">
        <f t="shared" ca="1" si="40"/>
        <v>2301</v>
      </c>
      <c r="T230">
        <f t="shared" ca="1" si="41"/>
        <v>6740</v>
      </c>
      <c r="U230">
        <f t="shared" ca="1" si="42"/>
        <v>1204</v>
      </c>
      <c r="V230">
        <v>0</v>
      </c>
      <c r="W230">
        <v>0</v>
      </c>
      <c r="X230">
        <f t="shared" ca="1" si="43"/>
        <v>-433</v>
      </c>
      <c r="Y230">
        <v>0</v>
      </c>
      <c r="Z230">
        <v>1372</v>
      </c>
      <c r="AA230">
        <v>100</v>
      </c>
      <c r="AB230" t="s">
        <v>80</v>
      </c>
      <c r="AC230" t="s">
        <v>82</v>
      </c>
      <c r="AD230">
        <v>1</v>
      </c>
      <c r="AE230">
        <v>52</v>
      </c>
      <c r="AF230">
        <v>265</v>
      </c>
      <c r="AG230" t="s">
        <v>47</v>
      </c>
      <c r="AH230" t="s">
        <v>48</v>
      </c>
      <c r="AI230" t="s">
        <v>49</v>
      </c>
      <c r="AJ230" t="s">
        <v>50</v>
      </c>
      <c r="AK230" t="s">
        <v>51</v>
      </c>
      <c r="AL230">
        <v>3.6726999999999999</v>
      </c>
      <c r="AM230" t="s">
        <v>52</v>
      </c>
      <c r="AN230" t="s">
        <v>124</v>
      </c>
      <c r="AO230" t="s">
        <v>50</v>
      </c>
      <c r="AP230" t="s">
        <v>48</v>
      </c>
      <c r="AQ230" t="s">
        <v>55</v>
      </c>
    </row>
    <row r="231" spans="1:43" x14ac:dyDescent="0.3">
      <c r="A231" t="s">
        <v>43</v>
      </c>
      <c r="B231">
        <v>2020</v>
      </c>
      <c r="C231">
        <v>300</v>
      </c>
      <c r="D231">
        <v>5212</v>
      </c>
      <c r="E231">
        <v>30</v>
      </c>
      <c r="F231">
        <v>202305</v>
      </c>
      <c r="G231">
        <v>3100303</v>
      </c>
      <c r="H231" t="s">
        <v>81</v>
      </c>
      <c r="I231" t="s">
        <v>45</v>
      </c>
      <c r="J231">
        <v>7</v>
      </c>
      <c r="K231">
        <f t="shared" ca="1" si="34"/>
        <v>37</v>
      </c>
      <c r="L231">
        <f t="shared" ca="1" si="35"/>
        <v>93</v>
      </c>
      <c r="M231">
        <f t="shared" ca="1" si="36"/>
        <v>123</v>
      </c>
      <c r="N231">
        <f t="shared" ca="1" si="36"/>
        <v>-20</v>
      </c>
      <c r="O231">
        <f t="shared" ca="1" si="33"/>
        <v>83</v>
      </c>
      <c r="P231">
        <f t="shared" ca="1" si="37"/>
        <v>-256</v>
      </c>
      <c r="Q231">
        <f t="shared" ca="1" si="38"/>
        <v>588</v>
      </c>
      <c r="R231">
        <f t="shared" ca="1" si="39"/>
        <v>423</v>
      </c>
      <c r="S231">
        <f t="shared" ca="1" si="40"/>
        <v>8211</v>
      </c>
      <c r="T231">
        <f t="shared" ca="1" si="41"/>
        <v>266</v>
      </c>
      <c r="U231">
        <f t="shared" ca="1" si="42"/>
        <v>720</v>
      </c>
      <c r="V231">
        <v>0</v>
      </c>
      <c r="W231">
        <v>0</v>
      </c>
      <c r="X231">
        <f t="shared" ca="1" si="43"/>
        <v>-250</v>
      </c>
      <c r="Y231">
        <v>0</v>
      </c>
      <c r="Z231">
        <v>1903</v>
      </c>
      <c r="AA231">
        <v>100</v>
      </c>
      <c r="AB231" t="s">
        <v>80</v>
      </c>
      <c r="AC231" t="s">
        <v>83</v>
      </c>
      <c r="AD231">
        <v>1</v>
      </c>
      <c r="AE231">
        <v>52</v>
      </c>
      <c r="AF231">
        <v>265</v>
      </c>
      <c r="AG231" t="s">
        <v>47</v>
      </c>
      <c r="AH231" t="s">
        <v>48</v>
      </c>
      <c r="AI231" t="s">
        <v>49</v>
      </c>
      <c r="AJ231" t="s">
        <v>50</v>
      </c>
      <c r="AK231" t="s">
        <v>51</v>
      </c>
      <c r="AL231">
        <v>3.6726999999999999</v>
      </c>
      <c r="AM231" t="s">
        <v>52</v>
      </c>
      <c r="AN231" t="s">
        <v>124</v>
      </c>
      <c r="AO231" t="s">
        <v>50</v>
      </c>
      <c r="AP231" t="s">
        <v>48</v>
      </c>
      <c r="AQ231" t="s">
        <v>55</v>
      </c>
    </row>
    <row r="232" spans="1:43" x14ac:dyDescent="0.3">
      <c r="A232" t="s">
        <v>43</v>
      </c>
      <c r="B232">
        <v>2020</v>
      </c>
      <c r="C232">
        <v>300</v>
      </c>
      <c r="D232">
        <v>5212</v>
      </c>
      <c r="E232">
        <v>30</v>
      </c>
      <c r="F232">
        <v>202305</v>
      </c>
      <c r="G232">
        <v>3100326</v>
      </c>
      <c r="H232" t="s">
        <v>81</v>
      </c>
      <c r="I232" t="s">
        <v>45</v>
      </c>
      <c r="J232">
        <v>7</v>
      </c>
      <c r="K232">
        <f t="shared" ca="1" si="34"/>
        <v>29</v>
      </c>
      <c r="L232">
        <f t="shared" ca="1" si="35"/>
        <v>28</v>
      </c>
      <c r="M232">
        <f t="shared" ca="1" si="36"/>
        <v>334</v>
      </c>
      <c r="N232">
        <f t="shared" ca="1" si="36"/>
        <v>6</v>
      </c>
      <c r="O232">
        <f t="shared" ca="1" si="33"/>
        <v>-69</v>
      </c>
      <c r="P232">
        <f t="shared" ca="1" si="37"/>
        <v>613</v>
      </c>
      <c r="Q232">
        <f t="shared" ca="1" si="38"/>
        <v>886</v>
      </c>
      <c r="R232">
        <f t="shared" ca="1" si="39"/>
        <v>346</v>
      </c>
      <c r="S232">
        <f t="shared" ca="1" si="40"/>
        <v>13883</v>
      </c>
      <c r="T232">
        <f t="shared" ca="1" si="41"/>
        <v>4423</v>
      </c>
      <c r="U232">
        <f t="shared" ca="1" si="42"/>
        <v>-96</v>
      </c>
      <c r="V232">
        <v>0</v>
      </c>
      <c r="W232">
        <v>0</v>
      </c>
      <c r="X232">
        <f t="shared" ca="1" si="43"/>
        <v>-14</v>
      </c>
      <c r="Y232">
        <v>0</v>
      </c>
      <c r="Z232">
        <v>0</v>
      </c>
      <c r="AA232">
        <v>100</v>
      </c>
      <c r="AB232" t="s">
        <v>80</v>
      </c>
      <c r="AC232" t="s">
        <v>111</v>
      </c>
      <c r="AD232">
        <v>1</v>
      </c>
      <c r="AE232">
        <v>52</v>
      </c>
      <c r="AF232">
        <v>265</v>
      </c>
      <c r="AG232" t="s">
        <v>47</v>
      </c>
      <c r="AH232" t="s">
        <v>48</v>
      </c>
      <c r="AI232" t="s">
        <v>49</v>
      </c>
      <c r="AJ232" t="s">
        <v>50</v>
      </c>
      <c r="AK232" t="s">
        <v>51</v>
      </c>
      <c r="AL232">
        <v>3.6726999999999999</v>
      </c>
      <c r="AM232" t="s">
        <v>52</v>
      </c>
      <c r="AN232" t="s">
        <v>124</v>
      </c>
      <c r="AO232" t="s">
        <v>50</v>
      </c>
      <c r="AP232" t="s">
        <v>48</v>
      </c>
      <c r="AQ232" t="s">
        <v>55</v>
      </c>
    </row>
    <row r="233" spans="1:43" x14ac:dyDescent="0.3">
      <c r="A233" t="s">
        <v>43</v>
      </c>
      <c r="B233">
        <v>2020</v>
      </c>
      <c r="C233">
        <v>300</v>
      </c>
      <c r="D233">
        <v>5212</v>
      </c>
      <c r="E233">
        <v>30</v>
      </c>
      <c r="F233">
        <v>202305</v>
      </c>
      <c r="G233">
        <v>3100353</v>
      </c>
      <c r="H233" t="s">
        <v>81</v>
      </c>
      <c r="I233" t="s">
        <v>45</v>
      </c>
      <c r="J233">
        <v>7</v>
      </c>
      <c r="K233">
        <f t="shared" ca="1" si="34"/>
        <v>81</v>
      </c>
      <c r="L233">
        <f t="shared" ca="1" si="35"/>
        <v>-76</v>
      </c>
      <c r="M233">
        <f t="shared" ca="1" si="36"/>
        <v>374</v>
      </c>
      <c r="N233">
        <f t="shared" ca="1" si="36"/>
        <v>167</v>
      </c>
      <c r="O233">
        <f t="shared" ca="1" si="33"/>
        <v>799</v>
      </c>
      <c r="P233">
        <f t="shared" ca="1" si="37"/>
        <v>-13</v>
      </c>
      <c r="Q233">
        <f t="shared" ca="1" si="38"/>
        <v>286</v>
      </c>
      <c r="R233">
        <f t="shared" ca="1" si="39"/>
        <v>-91</v>
      </c>
      <c r="S233">
        <f t="shared" ca="1" si="40"/>
        <v>13693</v>
      </c>
      <c r="T233">
        <f t="shared" ca="1" si="41"/>
        <v>1014</v>
      </c>
      <c r="U233">
        <f t="shared" ca="1" si="42"/>
        <v>443</v>
      </c>
      <c r="V233">
        <v>0</v>
      </c>
      <c r="W233">
        <v>0</v>
      </c>
      <c r="X233">
        <f t="shared" ca="1" si="43"/>
        <v>74</v>
      </c>
      <c r="Y233">
        <v>0</v>
      </c>
      <c r="Z233">
        <v>0</v>
      </c>
      <c r="AA233">
        <v>100</v>
      </c>
      <c r="AB233" t="s">
        <v>80</v>
      </c>
      <c r="AC233" t="s">
        <v>209</v>
      </c>
      <c r="AD233">
        <v>1</v>
      </c>
      <c r="AE233">
        <v>52</v>
      </c>
      <c r="AF233">
        <v>265</v>
      </c>
      <c r="AG233" t="s">
        <v>47</v>
      </c>
      <c r="AH233" t="s">
        <v>48</v>
      </c>
      <c r="AI233" t="s">
        <v>49</v>
      </c>
      <c r="AJ233" t="s">
        <v>50</v>
      </c>
      <c r="AK233" t="s">
        <v>51</v>
      </c>
      <c r="AL233">
        <v>3.6726999999999999</v>
      </c>
      <c r="AM233" t="s">
        <v>52</v>
      </c>
      <c r="AN233" t="s">
        <v>124</v>
      </c>
      <c r="AO233" t="s">
        <v>50</v>
      </c>
      <c r="AP233" t="s">
        <v>48</v>
      </c>
      <c r="AQ233" t="s">
        <v>55</v>
      </c>
    </row>
    <row r="234" spans="1:43" x14ac:dyDescent="0.3">
      <c r="A234" t="s">
        <v>43</v>
      </c>
      <c r="B234">
        <v>2020</v>
      </c>
      <c r="C234">
        <v>300</v>
      </c>
      <c r="D234">
        <v>5212</v>
      </c>
      <c r="E234">
        <v>30</v>
      </c>
      <c r="F234">
        <v>202305</v>
      </c>
      <c r="G234">
        <v>3200341</v>
      </c>
      <c r="H234" t="s">
        <v>81</v>
      </c>
      <c r="I234" t="s">
        <v>45</v>
      </c>
      <c r="J234">
        <v>7</v>
      </c>
      <c r="K234">
        <f t="shared" ca="1" si="34"/>
        <v>93</v>
      </c>
      <c r="L234">
        <f t="shared" ca="1" si="35"/>
        <v>-70</v>
      </c>
      <c r="M234">
        <f t="shared" ca="1" si="36"/>
        <v>227</v>
      </c>
      <c r="N234">
        <f t="shared" ca="1" si="36"/>
        <v>460</v>
      </c>
      <c r="O234">
        <f t="shared" ca="1" si="33"/>
        <v>679</v>
      </c>
      <c r="P234">
        <f t="shared" ca="1" si="37"/>
        <v>844</v>
      </c>
      <c r="Q234">
        <f t="shared" ca="1" si="38"/>
        <v>154</v>
      </c>
      <c r="R234">
        <f t="shared" ca="1" si="39"/>
        <v>241</v>
      </c>
      <c r="S234">
        <f t="shared" ca="1" si="40"/>
        <v>13222</v>
      </c>
      <c r="T234">
        <f t="shared" ca="1" si="41"/>
        <v>9928</v>
      </c>
      <c r="U234">
        <f t="shared" ca="1" si="42"/>
        <v>258</v>
      </c>
      <c r="V234">
        <v>0</v>
      </c>
      <c r="W234">
        <v>0</v>
      </c>
      <c r="X234">
        <f t="shared" ca="1" si="43"/>
        <v>11</v>
      </c>
      <c r="Y234">
        <v>0</v>
      </c>
      <c r="Z234">
        <v>0</v>
      </c>
      <c r="AA234">
        <v>100</v>
      </c>
      <c r="AB234" t="s">
        <v>114</v>
      </c>
      <c r="AC234" t="s">
        <v>115</v>
      </c>
      <c r="AD234">
        <v>1</v>
      </c>
      <c r="AE234">
        <v>52</v>
      </c>
      <c r="AF234">
        <v>265</v>
      </c>
      <c r="AG234" t="s">
        <v>47</v>
      </c>
      <c r="AH234" t="s">
        <v>48</v>
      </c>
      <c r="AI234" t="s">
        <v>49</v>
      </c>
      <c r="AJ234" t="s">
        <v>50</v>
      </c>
      <c r="AK234" t="s">
        <v>51</v>
      </c>
      <c r="AL234">
        <v>3.6726999999999999</v>
      </c>
      <c r="AM234" t="s">
        <v>52</v>
      </c>
      <c r="AN234" t="s">
        <v>124</v>
      </c>
      <c r="AO234" t="s">
        <v>50</v>
      </c>
      <c r="AP234" t="s">
        <v>48</v>
      </c>
      <c r="AQ234" t="s">
        <v>55</v>
      </c>
    </row>
    <row r="235" spans="1:43" x14ac:dyDescent="0.3">
      <c r="A235" t="s">
        <v>43</v>
      </c>
      <c r="B235">
        <v>2020</v>
      </c>
      <c r="C235">
        <v>300</v>
      </c>
      <c r="D235">
        <v>5213</v>
      </c>
      <c r="E235">
        <v>7</v>
      </c>
      <c r="F235">
        <v>202305</v>
      </c>
      <c r="G235">
        <v>1100125</v>
      </c>
      <c r="H235" t="s">
        <v>97</v>
      </c>
      <c r="I235" t="s">
        <v>45</v>
      </c>
      <c r="J235">
        <v>7</v>
      </c>
      <c r="K235">
        <f t="shared" ca="1" si="34"/>
        <v>39</v>
      </c>
      <c r="L235">
        <f t="shared" ca="1" si="35"/>
        <v>76</v>
      </c>
      <c r="M235">
        <f t="shared" ca="1" si="36"/>
        <v>27</v>
      </c>
      <c r="N235">
        <f t="shared" ca="1" si="36"/>
        <v>421</v>
      </c>
      <c r="O235">
        <f t="shared" ca="1" si="33"/>
        <v>-41</v>
      </c>
      <c r="P235">
        <f t="shared" ca="1" si="37"/>
        <v>698</v>
      </c>
      <c r="Q235">
        <f t="shared" ca="1" si="38"/>
        <v>1123</v>
      </c>
      <c r="R235">
        <f t="shared" ca="1" si="39"/>
        <v>156</v>
      </c>
      <c r="S235">
        <f t="shared" ca="1" si="40"/>
        <v>7997</v>
      </c>
      <c r="T235">
        <f t="shared" ca="1" si="41"/>
        <v>115</v>
      </c>
      <c r="U235">
        <f t="shared" ca="1" si="42"/>
        <v>399</v>
      </c>
      <c r="V235">
        <v>0</v>
      </c>
      <c r="W235">
        <v>0</v>
      </c>
      <c r="X235">
        <f t="shared" ca="1" si="43"/>
        <v>-128</v>
      </c>
      <c r="Y235">
        <v>0</v>
      </c>
      <c r="Z235">
        <v>-203</v>
      </c>
      <c r="AA235">
        <v>100</v>
      </c>
      <c r="AB235" t="s">
        <v>65</v>
      </c>
      <c r="AC235" t="s">
        <v>99</v>
      </c>
      <c r="AD235">
        <v>1</v>
      </c>
      <c r="AE235">
        <v>52</v>
      </c>
      <c r="AF235">
        <v>265</v>
      </c>
      <c r="AG235" t="s">
        <v>47</v>
      </c>
      <c r="AH235" t="s">
        <v>48</v>
      </c>
      <c r="AI235" t="s">
        <v>49</v>
      </c>
      <c r="AJ235" t="s">
        <v>50</v>
      </c>
      <c r="AK235" t="s">
        <v>51</v>
      </c>
      <c r="AL235">
        <v>3.6726999999999999</v>
      </c>
      <c r="AM235" t="s">
        <v>52</v>
      </c>
      <c r="AN235" t="s">
        <v>216</v>
      </c>
      <c r="AO235" t="s">
        <v>45</v>
      </c>
      <c r="AP235" t="s">
        <v>48</v>
      </c>
      <c r="AQ235" t="s">
        <v>55</v>
      </c>
    </row>
    <row r="236" spans="1:43" x14ac:dyDescent="0.3">
      <c r="A236" t="s">
        <v>43</v>
      </c>
      <c r="B236">
        <v>2020</v>
      </c>
      <c r="C236">
        <v>300</v>
      </c>
      <c r="D236">
        <v>5213</v>
      </c>
      <c r="E236">
        <v>7</v>
      </c>
      <c r="F236">
        <v>202305</v>
      </c>
      <c r="G236">
        <v>3100410</v>
      </c>
      <c r="H236" t="s">
        <v>97</v>
      </c>
      <c r="I236" t="s">
        <v>45</v>
      </c>
      <c r="J236">
        <v>7</v>
      </c>
      <c r="K236">
        <f t="shared" ca="1" si="34"/>
        <v>100</v>
      </c>
      <c r="L236">
        <f t="shared" ca="1" si="35"/>
        <v>22</v>
      </c>
      <c r="M236">
        <f t="shared" ca="1" si="36"/>
        <v>448</v>
      </c>
      <c r="N236">
        <f t="shared" ca="1" si="36"/>
        <v>357</v>
      </c>
      <c r="O236">
        <f t="shared" ca="1" si="33"/>
        <v>133</v>
      </c>
      <c r="P236">
        <f t="shared" ca="1" si="37"/>
        <v>234</v>
      </c>
      <c r="Q236">
        <f t="shared" ca="1" si="38"/>
        <v>282</v>
      </c>
      <c r="R236">
        <f t="shared" ca="1" si="39"/>
        <v>110</v>
      </c>
      <c r="S236">
        <f t="shared" ca="1" si="40"/>
        <v>6932</v>
      </c>
      <c r="T236">
        <f t="shared" ca="1" si="41"/>
        <v>3523</v>
      </c>
      <c r="U236">
        <f t="shared" ca="1" si="42"/>
        <v>632</v>
      </c>
      <c r="V236">
        <v>0</v>
      </c>
      <c r="W236">
        <v>0</v>
      </c>
      <c r="X236">
        <f t="shared" ca="1" si="43"/>
        <v>-400</v>
      </c>
      <c r="Y236">
        <v>0</v>
      </c>
      <c r="Z236">
        <v>-378</v>
      </c>
      <c r="AA236">
        <v>100</v>
      </c>
      <c r="AB236" t="s">
        <v>80</v>
      </c>
      <c r="AC236" t="s">
        <v>100</v>
      </c>
      <c r="AD236">
        <v>1</v>
      </c>
      <c r="AE236">
        <v>52</v>
      </c>
      <c r="AF236">
        <v>265</v>
      </c>
      <c r="AG236" t="s">
        <v>47</v>
      </c>
      <c r="AH236" t="s">
        <v>48</v>
      </c>
      <c r="AI236" t="s">
        <v>49</v>
      </c>
      <c r="AJ236" t="s">
        <v>50</v>
      </c>
      <c r="AK236" t="s">
        <v>51</v>
      </c>
      <c r="AL236">
        <v>3.6726999999999999</v>
      </c>
      <c r="AM236" t="s">
        <v>52</v>
      </c>
      <c r="AN236" t="s">
        <v>216</v>
      </c>
      <c r="AO236" t="s">
        <v>45</v>
      </c>
      <c r="AP236" t="s">
        <v>48</v>
      </c>
      <c r="AQ236" t="s">
        <v>55</v>
      </c>
    </row>
    <row r="237" spans="1:43" x14ac:dyDescent="0.3">
      <c r="A237" t="s">
        <v>43</v>
      </c>
      <c r="B237">
        <v>2020</v>
      </c>
      <c r="C237">
        <v>300</v>
      </c>
      <c r="D237">
        <v>5213</v>
      </c>
      <c r="E237">
        <v>7</v>
      </c>
      <c r="F237">
        <v>202305</v>
      </c>
      <c r="G237">
        <v>3100411</v>
      </c>
      <c r="H237" t="s">
        <v>97</v>
      </c>
      <c r="I237" t="s">
        <v>45</v>
      </c>
      <c r="J237">
        <v>7</v>
      </c>
      <c r="K237">
        <f t="shared" ca="1" si="34"/>
        <v>93</v>
      </c>
      <c r="L237">
        <f t="shared" ca="1" si="35"/>
        <v>-59</v>
      </c>
      <c r="M237">
        <f t="shared" ca="1" si="36"/>
        <v>284</v>
      </c>
      <c r="N237">
        <f t="shared" ca="1" si="36"/>
        <v>29</v>
      </c>
      <c r="O237">
        <f t="shared" ca="1" si="33"/>
        <v>542</v>
      </c>
      <c r="P237">
        <f t="shared" ca="1" si="37"/>
        <v>746</v>
      </c>
      <c r="Q237">
        <f t="shared" ca="1" si="38"/>
        <v>913</v>
      </c>
      <c r="R237">
        <f t="shared" ca="1" si="39"/>
        <v>387</v>
      </c>
      <c r="S237">
        <f t="shared" ca="1" si="40"/>
        <v>11289</v>
      </c>
      <c r="T237">
        <f t="shared" ca="1" si="41"/>
        <v>-49</v>
      </c>
      <c r="U237">
        <f t="shared" ca="1" si="42"/>
        <v>1060</v>
      </c>
      <c r="V237">
        <v>0</v>
      </c>
      <c r="W237">
        <v>0</v>
      </c>
      <c r="X237">
        <f t="shared" ca="1" si="43"/>
        <v>-56</v>
      </c>
      <c r="Y237">
        <v>0</v>
      </c>
      <c r="Z237">
        <v>-93</v>
      </c>
      <c r="AA237">
        <v>100</v>
      </c>
      <c r="AB237" t="s">
        <v>80</v>
      </c>
      <c r="AC237" t="s">
        <v>101</v>
      </c>
      <c r="AD237">
        <v>1</v>
      </c>
      <c r="AE237">
        <v>52</v>
      </c>
      <c r="AF237">
        <v>265</v>
      </c>
      <c r="AG237" t="s">
        <v>47</v>
      </c>
      <c r="AH237" t="s">
        <v>48</v>
      </c>
      <c r="AI237" t="s">
        <v>49</v>
      </c>
      <c r="AJ237" t="s">
        <v>50</v>
      </c>
      <c r="AK237" t="s">
        <v>51</v>
      </c>
      <c r="AL237">
        <v>3.6726999999999999</v>
      </c>
      <c r="AM237" t="s">
        <v>52</v>
      </c>
      <c r="AN237" t="s">
        <v>216</v>
      </c>
      <c r="AO237" t="s">
        <v>45</v>
      </c>
      <c r="AP237" t="s">
        <v>48</v>
      </c>
      <c r="AQ237" t="s">
        <v>55</v>
      </c>
    </row>
    <row r="238" spans="1:43" x14ac:dyDescent="0.3">
      <c r="A238" t="s">
        <v>43</v>
      </c>
      <c r="B238">
        <v>2020</v>
      </c>
      <c r="C238">
        <v>300</v>
      </c>
      <c r="D238">
        <v>5213</v>
      </c>
      <c r="E238">
        <v>7</v>
      </c>
      <c r="F238">
        <v>202305</v>
      </c>
      <c r="G238">
        <v>3100412</v>
      </c>
      <c r="H238" t="s">
        <v>97</v>
      </c>
      <c r="I238" t="s">
        <v>45</v>
      </c>
      <c r="J238">
        <v>7</v>
      </c>
      <c r="K238">
        <f t="shared" ca="1" si="34"/>
        <v>77</v>
      </c>
      <c r="L238">
        <f t="shared" ca="1" si="35"/>
        <v>82</v>
      </c>
      <c r="M238">
        <f t="shared" ca="1" si="36"/>
        <v>-37</v>
      </c>
      <c r="N238">
        <f t="shared" ca="1" si="36"/>
        <v>395</v>
      </c>
      <c r="O238">
        <f t="shared" ca="1" si="33"/>
        <v>793</v>
      </c>
      <c r="P238">
        <f t="shared" ca="1" si="37"/>
        <v>817</v>
      </c>
      <c r="Q238">
        <f t="shared" ca="1" si="38"/>
        <v>943</v>
      </c>
      <c r="R238">
        <f t="shared" ca="1" si="39"/>
        <v>-25</v>
      </c>
      <c r="S238">
        <f t="shared" ca="1" si="40"/>
        <v>4989</v>
      </c>
      <c r="T238">
        <f t="shared" ca="1" si="41"/>
        <v>978</v>
      </c>
      <c r="U238">
        <f t="shared" ca="1" si="42"/>
        <v>498</v>
      </c>
      <c r="V238">
        <v>0</v>
      </c>
      <c r="W238">
        <v>0</v>
      </c>
      <c r="X238">
        <f t="shared" ca="1" si="43"/>
        <v>-26</v>
      </c>
      <c r="Y238">
        <v>0</v>
      </c>
      <c r="Z238">
        <v>-134</v>
      </c>
      <c r="AA238">
        <v>100</v>
      </c>
      <c r="AB238" t="s">
        <v>80</v>
      </c>
      <c r="AC238" t="s">
        <v>107</v>
      </c>
      <c r="AD238">
        <v>1</v>
      </c>
      <c r="AE238">
        <v>52</v>
      </c>
      <c r="AF238">
        <v>265</v>
      </c>
      <c r="AG238" t="s">
        <v>47</v>
      </c>
      <c r="AH238" t="s">
        <v>48</v>
      </c>
      <c r="AI238" t="s">
        <v>49</v>
      </c>
      <c r="AJ238" t="s">
        <v>50</v>
      </c>
      <c r="AK238" t="s">
        <v>51</v>
      </c>
      <c r="AL238">
        <v>3.6726999999999999</v>
      </c>
      <c r="AM238" t="s">
        <v>52</v>
      </c>
      <c r="AN238" t="s">
        <v>216</v>
      </c>
      <c r="AO238" t="s">
        <v>45</v>
      </c>
      <c r="AP238" t="s">
        <v>48</v>
      </c>
      <c r="AQ238" t="s">
        <v>55</v>
      </c>
    </row>
    <row r="239" spans="1:43" x14ac:dyDescent="0.3">
      <c r="A239" t="s">
        <v>43</v>
      </c>
      <c r="B239">
        <v>2020</v>
      </c>
      <c r="C239">
        <v>300</v>
      </c>
      <c r="D239">
        <v>5213</v>
      </c>
      <c r="E239">
        <v>9</v>
      </c>
      <c r="F239">
        <v>202305</v>
      </c>
      <c r="G239">
        <v>1</v>
      </c>
      <c r="H239" t="s">
        <v>77</v>
      </c>
      <c r="I239" t="s">
        <v>45</v>
      </c>
      <c r="J239">
        <v>2</v>
      </c>
      <c r="K239">
        <f t="shared" ca="1" si="34"/>
        <v>87</v>
      </c>
      <c r="L239">
        <f t="shared" ca="1" si="35"/>
        <v>50</v>
      </c>
      <c r="M239">
        <f t="shared" ca="1" si="36"/>
        <v>465</v>
      </c>
      <c r="N239">
        <f t="shared" ca="1" si="36"/>
        <v>472</v>
      </c>
      <c r="O239">
        <f t="shared" ca="1" si="33"/>
        <v>334</v>
      </c>
      <c r="P239">
        <f t="shared" ca="1" si="37"/>
        <v>993</v>
      </c>
      <c r="Q239">
        <f t="shared" ca="1" si="38"/>
        <v>912</v>
      </c>
      <c r="R239">
        <f t="shared" ca="1" si="39"/>
        <v>-56</v>
      </c>
      <c r="S239">
        <f t="shared" ca="1" si="40"/>
        <v>7763</v>
      </c>
      <c r="T239">
        <f t="shared" ca="1" si="41"/>
        <v>7495</v>
      </c>
      <c r="U239">
        <f t="shared" ca="1" si="42"/>
        <v>193</v>
      </c>
      <c r="V239">
        <v>0</v>
      </c>
      <c r="W239">
        <v>0</v>
      </c>
      <c r="X239">
        <f t="shared" ca="1" si="43"/>
        <v>-64</v>
      </c>
      <c r="Y239">
        <v>0</v>
      </c>
      <c r="Z239">
        <v>-198</v>
      </c>
      <c r="AA239">
        <v>100</v>
      </c>
      <c r="AB239" t="s">
        <v>57</v>
      </c>
      <c r="AC239" t="s">
        <v>67</v>
      </c>
      <c r="AD239">
        <v>1</v>
      </c>
      <c r="AE239">
        <v>52</v>
      </c>
      <c r="AF239">
        <v>265</v>
      </c>
      <c r="AG239" t="s">
        <v>47</v>
      </c>
      <c r="AH239" t="s">
        <v>48</v>
      </c>
      <c r="AI239" t="s">
        <v>49</v>
      </c>
      <c r="AJ239" t="s">
        <v>50</v>
      </c>
      <c r="AK239" t="s">
        <v>51</v>
      </c>
      <c r="AL239">
        <v>3.6726999999999999</v>
      </c>
      <c r="AM239" t="s">
        <v>52</v>
      </c>
      <c r="AN239" t="s">
        <v>216</v>
      </c>
      <c r="AO239" t="s">
        <v>78</v>
      </c>
      <c r="AP239" t="s">
        <v>48</v>
      </c>
      <c r="AQ239" t="s">
        <v>55</v>
      </c>
    </row>
    <row r="240" spans="1:43" x14ac:dyDescent="0.3">
      <c r="A240" t="s">
        <v>43</v>
      </c>
      <c r="B240">
        <v>2020</v>
      </c>
      <c r="C240">
        <v>300</v>
      </c>
      <c r="D240">
        <v>5213</v>
      </c>
      <c r="E240">
        <v>9</v>
      </c>
      <c r="F240">
        <v>202305</v>
      </c>
      <c r="G240">
        <v>2</v>
      </c>
      <c r="H240" t="s">
        <v>77</v>
      </c>
      <c r="I240" t="s">
        <v>45</v>
      </c>
      <c r="J240">
        <v>2</v>
      </c>
      <c r="K240">
        <f t="shared" ca="1" si="34"/>
        <v>99</v>
      </c>
      <c r="L240">
        <f t="shared" ca="1" si="35"/>
        <v>69</v>
      </c>
      <c r="M240">
        <f t="shared" ca="1" si="36"/>
        <v>169</v>
      </c>
      <c r="N240">
        <f t="shared" ca="1" si="36"/>
        <v>-80</v>
      </c>
      <c r="O240">
        <f t="shared" ca="1" si="33"/>
        <v>908</v>
      </c>
      <c r="P240">
        <f t="shared" ca="1" si="37"/>
        <v>361</v>
      </c>
      <c r="Q240">
        <f t="shared" ca="1" si="38"/>
        <v>673</v>
      </c>
      <c r="R240">
        <f t="shared" ca="1" si="39"/>
        <v>-50</v>
      </c>
      <c r="S240">
        <f t="shared" ca="1" si="40"/>
        <v>5191</v>
      </c>
      <c r="T240">
        <f t="shared" ca="1" si="41"/>
        <v>839</v>
      </c>
      <c r="U240">
        <f t="shared" ca="1" si="42"/>
        <v>88</v>
      </c>
      <c r="V240">
        <v>0</v>
      </c>
      <c r="W240">
        <v>0</v>
      </c>
      <c r="X240">
        <f t="shared" ca="1" si="43"/>
        <v>46</v>
      </c>
      <c r="Y240">
        <v>0</v>
      </c>
      <c r="Z240">
        <v>-5377</v>
      </c>
      <c r="AA240">
        <v>100</v>
      </c>
      <c r="AB240" t="s">
        <v>61</v>
      </c>
      <c r="AC240" t="s">
        <v>73</v>
      </c>
      <c r="AD240">
        <v>1</v>
      </c>
      <c r="AE240">
        <v>52</v>
      </c>
      <c r="AF240">
        <v>265</v>
      </c>
      <c r="AG240" t="s">
        <v>47</v>
      </c>
      <c r="AH240" t="s">
        <v>48</v>
      </c>
      <c r="AI240" t="s">
        <v>49</v>
      </c>
      <c r="AJ240" t="s">
        <v>50</v>
      </c>
      <c r="AK240" t="s">
        <v>51</v>
      </c>
      <c r="AL240">
        <v>3.6726999999999999</v>
      </c>
      <c r="AM240" t="s">
        <v>52</v>
      </c>
      <c r="AN240" t="s">
        <v>216</v>
      </c>
      <c r="AO240" t="s">
        <v>78</v>
      </c>
      <c r="AP240" t="s">
        <v>48</v>
      </c>
      <c r="AQ240" t="s">
        <v>55</v>
      </c>
    </row>
    <row r="241" spans="1:43" x14ac:dyDescent="0.3">
      <c r="A241" t="s">
        <v>43</v>
      </c>
      <c r="B241">
        <v>2020</v>
      </c>
      <c r="C241">
        <v>300</v>
      </c>
      <c r="D241">
        <v>5213</v>
      </c>
      <c r="E241">
        <v>9</v>
      </c>
      <c r="F241">
        <v>202305</v>
      </c>
      <c r="G241">
        <v>3</v>
      </c>
      <c r="H241" t="s">
        <v>77</v>
      </c>
      <c r="I241" t="s">
        <v>45</v>
      </c>
      <c r="J241">
        <v>2</v>
      </c>
      <c r="K241">
        <f t="shared" ca="1" si="34"/>
        <v>16</v>
      </c>
      <c r="L241">
        <f t="shared" ca="1" si="35"/>
        <v>-25</v>
      </c>
      <c r="M241">
        <f t="shared" ca="1" si="36"/>
        <v>-50</v>
      </c>
      <c r="N241">
        <f t="shared" ca="1" si="36"/>
        <v>423</v>
      </c>
      <c r="O241">
        <f t="shared" ca="1" si="33"/>
        <v>496</v>
      </c>
      <c r="P241">
        <f t="shared" ca="1" si="37"/>
        <v>221</v>
      </c>
      <c r="Q241">
        <f t="shared" ca="1" si="38"/>
        <v>192</v>
      </c>
      <c r="R241">
        <f t="shared" ca="1" si="39"/>
        <v>259</v>
      </c>
      <c r="S241">
        <f t="shared" ca="1" si="40"/>
        <v>4483</v>
      </c>
      <c r="T241">
        <f t="shared" ca="1" si="41"/>
        <v>8779</v>
      </c>
      <c r="U241">
        <f t="shared" ca="1" si="42"/>
        <v>432</v>
      </c>
      <c r="V241">
        <v>0</v>
      </c>
      <c r="W241">
        <v>0</v>
      </c>
      <c r="X241">
        <f t="shared" ca="1" si="43"/>
        <v>22</v>
      </c>
      <c r="Y241">
        <v>0</v>
      </c>
      <c r="Z241">
        <v>-617</v>
      </c>
      <c r="AA241">
        <v>100</v>
      </c>
      <c r="AB241" t="s">
        <v>62</v>
      </c>
      <c r="AC241" t="s">
        <v>75</v>
      </c>
      <c r="AD241">
        <v>1</v>
      </c>
      <c r="AE241">
        <v>52</v>
      </c>
      <c r="AF241">
        <v>265</v>
      </c>
      <c r="AG241" t="s">
        <v>47</v>
      </c>
      <c r="AH241" t="s">
        <v>48</v>
      </c>
      <c r="AI241" t="s">
        <v>49</v>
      </c>
      <c r="AJ241" t="s">
        <v>50</v>
      </c>
      <c r="AK241" t="s">
        <v>51</v>
      </c>
      <c r="AL241">
        <v>3.6726999999999999</v>
      </c>
      <c r="AM241" t="s">
        <v>52</v>
      </c>
      <c r="AN241" t="s">
        <v>216</v>
      </c>
      <c r="AO241" t="s">
        <v>78</v>
      </c>
      <c r="AP241" t="s">
        <v>48</v>
      </c>
      <c r="AQ241" t="s">
        <v>55</v>
      </c>
    </row>
    <row r="242" spans="1:43" x14ac:dyDescent="0.3">
      <c r="A242" t="s">
        <v>43</v>
      </c>
      <c r="B242">
        <v>2020</v>
      </c>
      <c r="C242">
        <v>300</v>
      </c>
      <c r="D242">
        <v>5213</v>
      </c>
      <c r="E242">
        <v>9</v>
      </c>
      <c r="F242">
        <v>202305</v>
      </c>
      <c r="G242">
        <v>11</v>
      </c>
      <c r="H242" t="s">
        <v>77</v>
      </c>
      <c r="I242" t="s">
        <v>45</v>
      </c>
      <c r="J242">
        <v>2</v>
      </c>
      <c r="K242">
        <f t="shared" ca="1" si="34"/>
        <v>12</v>
      </c>
      <c r="L242">
        <f t="shared" ca="1" si="35"/>
        <v>8</v>
      </c>
      <c r="M242">
        <f t="shared" ca="1" si="36"/>
        <v>296</v>
      </c>
      <c r="N242">
        <f t="shared" ca="1" si="36"/>
        <v>150</v>
      </c>
      <c r="O242">
        <f t="shared" ca="1" si="33"/>
        <v>484</v>
      </c>
      <c r="P242">
        <f t="shared" ca="1" si="37"/>
        <v>499</v>
      </c>
      <c r="Q242">
        <f t="shared" ca="1" si="38"/>
        <v>51</v>
      </c>
      <c r="R242">
        <f t="shared" ca="1" si="39"/>
        <v>252</v>
      </c>
      <c r="S242">
        <f t="shared" ca="1" si="40"/>
        <v>9306</v>
      </c>
      <c r="T242">
        <f t="shared" ca="1" si="41"/>
        <v>3699</v>
      </c>
      <c r="U242">
        <f t="shared" ca="1" si="42"/>
        <v>221</v>
      </c>
      <c r="V242">
        <v>0</v>
      </c>
      <c r="W242">
        <v>0</v>
      </c>
      <c r="X242">
        <f t="shared" ca="1" si="43"/>
        <v>-260</v>
      </c>
      <c r="Y242">
        <v>0</v>
      </c>
      <c r="Z242">
        <v>-144</v>
      </c>
      <c r="AA242">
        <v>100</v>
      </c>
      <c r="AB242" t="s">
        <v>65</v>
      </c>
      <c r="AC242" t="s">
        <v>76</v>
      </c>
      <c r="AD242">
        <v>1</v>
      </c>
      <c r="AE242">
        <v>52</v>
      </c>
      <c r="AF242">
        <v>265</v>
      </c>
      <c r="AG242" t="s">
        <v>47</v>
      </c>
      <c r="AH242" t="s">
        <v>48</v>
      </c>
      <c r="AI242" t="s">
        <v>49</v>
      </c>
      <c r="AJ242" t="s">
        <v>50</v>
      </c>
      <c r="AK242" t="s">
        <v>51</v>
      </c>
      <c r="AL242">
        <v>3.6726999999999999</v>
      </c>
      <c r="AM242" t="s">
        <v>52</v>
      </c>
      <c r="AN242" t="s">
        <v>216</v>
      </c>
      <c r="AO242" t="s">
        <v>78</v>
      </c>
      <c r="AP242" t="s">
        <v>48</v>
      </c>
      <c r="AQ242" t="s">
        <v>55</v>
      </c>
    </row>
    <row r="243" spans="1:43" x14ac:dyDescent="0.3">
      <c r="A243" t="s">
        <v>43</v>
      </c>
      <c r="B243">
        <v>2020</v>
      </c>
      <c r="C243">
        <v>300</v>
      </c>
      <c r="D243">
        <v>5213</v>
      </c>
      <c r="E243">
        <v>9</v>
      </c>
      <c r="F243">
        <v>202305</v>
      </c>
      <c r="G243">
        <v>31</v>
      </c>
      <c r="H243" t="s">
        <v>77</v>
      </c>
      <c r="I243" t="s">
        <v>45</v>
      </c>
      <c r="J243">
        <v>2</v>
      </c>
      <c r="K243">
        <f t="shared" ca="1" si="34"/>
        <v>40</v>
      </c>
      <c r="L243">
        <f t="shared" ca="1" si="35"/>
        <v>-62</v>
      </c>
      <c r="M243">
        <f t="shared" ca="1" si="36"/>
        <v>441</v>
      </c>
      <c r="N243">
        <f t="shared" ca="1" si="36"/>
        <v>65</v>
      </c>
      <c r="O243">
        <f t="shared" ca="1" si="33"/>
        <v>333</v>
      </c>
      <c r="P243">
        <f t="shared" ca="1" si="37"/>
        <v>224</v>
      </c>
      <c r="Q243">
        <f t="shared" ca="1" si="38"/>
        <v>521</v>
      </c>
      <c r="R243">
        <f t="shared" ca="1" si="39"/>
        <v>224</v>
      </c>
      <c r="S243">
        <f t="shared" ca="1" si="40"/>
        <v>6064</v>
      </c>
      <c r="T243">
        <f t="shared" ca="1" si="41"/>
        <v>7274</v>
      </c>
      <c r="U243">
        <f t="shared" ca="1" si="42"/>
        <v>269</v>
      </c>
      <c r="V243">
        <v>0</v>
      </c>
      <c r="W243">
        <v>0</v>
      </c>
      <c r="X243">
        <f t="shared" ca="1" si="43"/>
        <v>-430</v>
      </c>
      <c r="Y243">
        <v>0</v>
      </c>
      <c r="Z243">
        <v>-3518</v>
      </c>
      <c r="AA243">
        <v>100</v>
      </c>
      <c r="AB243" t="s">
        <v>80</v>
      </c>
      <c r="AC243" t="s">
        <v>217</v>
      </c>
      <c r="AD243">
        <v>1</v>
      </c>
      <c r="AE243">
        <v>52</v>
      </c>
      <c r="AF243">
        <v>265</v>
      </c>
      <c r="AG243" t="s">
        <v>47</v>
      </c>
      <c r="AH243" t="s">
        <v>48</v>
      </c>
      <c r="AI243" t="s">
        <v>49</v>
      </c>
      <c r="AJ243" t="s">
        <v>50</v>
      </c>
      <c r="AK243" t="s">
        <v>51</v>
      </c>
      <c r="AL243">
        <v>3.6726999999999999</v>
      </c>
      <c r="AM243" t="s">
        <v>52</v>
      </c>
      <c r="AN243" t="s">
        <v>216</v>
      </c>
      <c r="AO243" t="s">
        <v>78</v>
      </c>
      <c r="AP243" t="s">
        <v>48</v>
      </c>
      <c r="AQ243" t="s">
        <v>55</v>
      </c>
    </row>
    <row r="244" spans="1:43" x14ac:dyDescent="0.3">
      <c r="A244" t="s">
        <v>43</v>
      </c>
      <c r="B244">
        <v>2020</v>
      </c>
      <c r="C244">
        <v>300</v>
      </c>
      <c r="D244">
        <v>5213</v>
      </c>
      <c r="E244">
        <v>15</v>
      </c>
      <c r="F244">
        <v>202305</v>
      </c>
      <c r="G244">
        <v>3100303</v>
      </c>
      <c r="H244" t="s">
        <v>104</v>
      </c>
      <c r="I244" t="s">
        <v>45</v>
      </c>
      <c r="J244">
        <v>7</v>
      </c>
      <c r="K244">
        <f t="shared" ca="1" si="34"/>
        <v>18</v>
      </c>
      <c r="L244">
        <f t="shared" ca="1" si="35"/>
        <v>-46</v>
      </c>
      <c r="M244">
        <f t="shared" ca="1" si="36"/>
        <v>447</v>
      </c>
      <c r="N244">
        <f t="shared" ca="1" si="36"/>
        <v>492</v>
      </c>
      <c r="O244">
        <f t="shared" ca="1" si="33"/>
        <v>819</v>
      </c>
      <c r="P244">
        <f t="shared" ca="1" si="37"/>
        <v>-264</v>
      </c>
      <c r="Q244">
        <f t="shared" ca="1" si="38"/>
        <v>1028</v>
      </c>
      <c r="R244">
        <f t="shared" ca="1" si="39"/>
        <v>368</v>
      </c>
      <c r="S244">
        <f t="shared" ca="1" si="40"/>
        <v>5218</v>
      </c>
      <c r="T244">
        <f t="shared" ca="1" si="41"/>
        <v>4234</v>
      </c>
      <c r="U244">
        <f t="shared" ca="1" si="42"/>
        <v>1289</v>
      </c>
      <c r="V244">
        <v>0</v>
      </c>
      <c r="W244">
        <v>0</v>
      </c>
      <c r="X244">
        <f t="shared" ca="1" si="43"/>
        <v>-339</v>
      </c>
      <c r="Y244">
        <v>0</v>
      </c>
      <c r="Z244">
        <v>-195</v>
      </c>
      <c r="AA244">
        <v>100</v>
      </c>
      <c r="AB244" t="s">
        <v>80</v>
      </c>
      <c r="AC244" t="s">
        <v>83</v>
      </c>
      <c r="AD244">
        <v>1</v>
      </c>
      <c r="AE244">
        <v>52</v>
      </c>
      <c r="AF244">
        <v>265</v>
      </c>
      <c r="AG244" t="s">
        <v>47</v>
      </c>
      <c r="AH244" t="s">
        <v>48</v>
      </c>
      <c r="AI244" t="s">
        <v>49</v>
      </c>
      <c r="AJ244" t="s">
        <v>50</v>
      </c>
      <c r="AK244" t="s">
        <v>51</v>
      </c>
      <c r="AL244">
        <v>3.6726999999999999</v>
      </c>
      <c r="AM244" t="s">
        <v>52</v>
      </c>
      <c r="AN244" t="s">
        <v>216</v>
      </c>
      <c r="AO244" t="s">
        <v>54</v>
      </c>
      <c r="AP244" t="s">
        <v>48</v>
      </c>
      <c r="AQ244" t="s">
        <v>55</v>
      </c>
    </row>
    <row r="245" spans="1:43" x14ac:dyDescent="0.3">
      <c r="A245" t="s">
        <v>43</v>
      </c>
      <c r="B245">
        <v>2020</v>
      </c>
      <c r="C245">
        <v>300</v>
      </c>
      <c r="D245">
        <v>5213</v>
      </c>
      <c r="E245">
        <v>15</v>
      </c>
      <c r="F245">
        <v>202305</v>
      </c>
      <c r="G245">
        <v>3100412</v>
      </c>
      <c r="H245" t="s">
        <v>104</v>
      </c>
      <c r="I245" t="s">
        <v>45</v>
      </c>
      <c r="J245">
        <v>7</v>
      </c>
      <c r="K245">
        <f t="shared" ca="1" si="34"/>
        <v>27</v>
      </c>
      <c r="L245">
        <f t="shared" ca="1" si="35"/>
        <v>19</v>
      </c>
      <c r="M245">
        <f t="shared" ca="1" si="36"/>
        <v>498</v>
      </c>
      <c r="N245">
        <f t="shared" ca="1" si="36"/>
        <v>133</v>
      </c>
      <c r="O245">
        <f t="shared" ca="1" si="33"/>
        <v>228</v>
      </c>
      <c r="P245">
        <f t="shared" ca="1" si="37"/>
        <v>1442</v>
      </c>
      <c r="Q245">
        <f t="shared" ca="1" si="38"/>
        <v>368</v>
      </c>
      <c r="R245">
        <f t="shared" ca="1" si="39"/>
        <v>473</v>
      </c>
      <c r="S245">
        <f t="shared" ca="1" si="40"/>
        <v>1099</v>
      </c>
      <c r="T245">
        <f t="shared" ca="1" si="41"/>
        <v>435</v>
      </c>
      <c r="U245">
        <f t="shared" ca="1" si="42"/>
        <v>1160</v>
      </c>
      <c r="V245">
        <v>0</v>
      </c>
      <c r="W245">
        <v>0</v>
      </c>
      <c r="X245">
        <f t="shared" ca="1" si="43"/>
        <v>-5</v>
      </c>
      <c r="Y245">
        <v>0</v>
      </c>
      <c r="Z245">
        <v>-2224</v>
      </c>
      <c r="AA245">
        <v>100</v>
      </c>
      <c r="AB245" t="s">
        <v>80</v>
      </c>
      <c r="AC245" t="s">
        <v>107</v>
      </c>
      <c r="AD245">
        <v>1</v>
      </c>
      <c r="AE245">
        <v>52</v>
      </c>
      <c r="AF245">
        <v>265</v>
      </c>
      <c r="AG245" t="s">
        <v>47</v>
      </c>
      <c r="AH245" t="s">
        <v>48</v>
      </c>
      <c r="AI245" t="s">
        <v>49</v>
      </c>
      <c r="AJ245" t="s">
        <v>50</v>
      </c>
      <c r="AK245" t="s">
        <v>51</v>
      </c>
      <c r="AL245">
        <v>3.6726999999999999</v>
      </c>
      <c r="AM245" t="s">
        <v>52</v>
      </c>
      <c r="AN245" t="s">
        <v>216</v>
      </c>
      <c r="AO245" t="s">
        <v>54</v>
      </c>
      <c r="AP245" t="s">
        <v>48</v>
      </c>
      <c r="AQ245" t="s">
        <v>55</v>
      </c>
    </row>
    <row r="246" spans="1:43" x14ac:dyDescent="0.3">
      <c r="A246" t="s">
        <v>43</v>
      </c>
      <c r="B246">
        <v>2020</v>
      </c>
      <c r="C246">
        <v>300</v>
      </c>
      <c r="D246">
        <v>5213</v>
      </c>
      <c r="E246">
        <v>15</v>
      </c>
      <c r="F246">
        <v>202305</v>
      </c>
      <c r="G246">
        <v>3100413</v>
      </c>
      <c r="H246" t="s">
        <v>104</v>
      </c>
      <c r="I246" t="s">
        <v>45</v>
      </c>
      <c r="J246">
        <v>7</v>
      </c>
      <c r="K246">
        <f t="shared" ca="1" si="34"/>
        <v>22</v>
      </c>
      <c r="L246">
        <f t="shared" ca="1" si="35"/>
        <v>44</v>
      </c>
      <c r="M246">
        <f t="shared" ca="1" si="36"/>
        <v>443</v>
      </c>
      <c r="N246">
        <f t="shared" ca="1" si="36"/>
        <v>120</v>
      </c>
      <c r="O246">
        <f t="shared" ca="1" si="33"/>
        <v>617</v>
      </c>
      <c r="P246">
        <f t="shared" ca="1" si="37"/>
        <v>1300</v>
      </c>
      <c r="Q246">
        <f t="shared" ca="1" si="38"/>
        <v>365</v>
      </c>
      <c r="R246">
        <f t="shared" ca="1" si="39"/>
        <v>368</v>
      </c>
      <c r="S246">
        <f t="shared" ca="1" si="40"/>
        <v>14960</v>
      </c>
      <c r="T246">
        <f t="shared" ca="1" si="41"/>
        <v>8061</v>
      </c>
      <c r="U246">
        <f t="shared" ca="1" si="42"/>
        <v>480</v>
      </c>
      <c r="V246">
        <v>0</v>
      </c>
      <c r="W246">
        <v>0</v>
      </c>
      <c r="X246">
        <f t="shared" ca="1" si="43"/>
        <v>-456</v>
      </c>
      <c r="Y246">
        <v>0</v>
      </c>
      <c r="Z246">
        <v>-2246</v>
      </c>
      <c r="AA246">
        <v>100</v>
      </c>
      <c r="AB246" t="s">
        <v>80</v>
      </c>
      <c r="AC246" t="s">
        <v>108</v>
      </c>
      <c r="AD246">
        <v>1</v>
      </c>
      <c r="AE246">
        <v>52</v>
      </c>
      <c r="AF246">
        <v>265</v>
      </c>
      <c r="AG246" t="s">
        <v>47</v>
      </c>
      <c r="AH246" t="s">
        <v>48</v>
      </c>
      <c r="AI246" t="s">
        <v>49</v>
      </c>
      <c r="AJ246" t="s">
        <v>50</v>
      </c>
      <c r="AK246" t="s">
        <v>51</v>
      </c>
      <c r="AL246">
        <v>3.6726999999999999</v>
      </c>
      <c r="AM246" t="s">
        <v>52</v>
      </c>
      <c r="AN246" t="s">
        <v>216</v>
      </c>
      <c r="AO246" t="s">
        <v>54</v>
      </c>
      <c r="AP246" t="s">
        <v>48</v>
      </c>
      <c r="AQ246" t="s">
        <v>55</v>
      </c>
    </row>
    <row r="247" spans="1:43" x14ac:dyDescent="0.3">
      <c r="A247" t="s">
        <v>43</v>
      </c>
      <c r="B247">
        <v>2020</v>
      </c>
      <c r="C247">
        <v>300</v>
      </c>
      <c r="D247">
        <v>5213</v>
      </c>
      <c r="E247">
        <v>15</v>
      </c>
      <c r="F247">
        <v>202305</v>
      </c>
      <c r="G247">
        <v>3100414</v>
      </c>
      <c r="H247" t="s">
        <v>104</v>
      </c>
      <c r="I247" t="s">
        <v>45</v>
      </c>
      <c r="J247">
        <v>7</v>
      </c>
      <c r="K247">
        <f t="shared" ca="1" si="34"/>
        <v>48</v>
      </c>
      <c r="L247">
        <f t="shared" ca="1" si="35"/>
        <v>8</v>
      </c>
      <c r="M247">
        <f t="shared" ca="1" si="36"/>
        <v>-9</v>
      </c>
      <c r="N247">
        <f t="shared" ca="1" si="36"/>
        <v>109</v>
      </c>
      <c r="O247">
        <f t="shared" ca="1" si="33"/>
        <v>230</v>
      </c>
      <c r="P247">
        <f t="shared" ca="1" si="37"/>
        <v>-99</v>
      </c>
      <c r="Q247">
        <f t="shared" ca="1" si="38"/>
        <v>84</v>
      </c>
      <c r="R247">
        <f t="shared" ca="1" si="39"/>
        <v>141</v>
      </c>
      <c r="S247">
        <f t="shared" ca="1" si="40"/>
        <v>3906</v>
      </c>
      <c r="T247">
        <f t="shared" ca="1" si="41"/>
        <v>9</v>
      </c>
      <c r="U247">
        <f t="shared" ca="1" si="42"/>
        <v>-49</v>
      </c>
      <c r="V247">
        <v>0</v>
      </c>
      <c r="W247">
        <v>0</v>
      </c>
      <c r="X247">
        <f t="shared" ca="1" si="43"/>
        <v>-497</v>
      </c>
      <c r="Y247">
        <v>0</v>
      </c>
      <c r="Z247">
        <v>-1886</v>
      </c>
      <c r="AA247">
        <v>100</v>
      </c>
      <c r="AB247" t="s">
        <v>80</v>
      </c>
      <c r="AC247" t="s">
        <v>109</v>
      </c>
      <c r="AD247">
        <v>1</v>
      </c>
      <c r="AE247">
        <v>52</v>
      </c>
      <c r="AF247">
        <v>265</v>
      </c>
      <c r="AG247" t="s">
        <v>47</v>
      </c>
      <c r="AH247" t="s">
        <v>48</v>
      </c>
      <c r="AI247" t="s">
        <v>49</v>
      </c>
      <c r="AJ247" t="s">
        <v>50</v>
      </c>
      <c r="AK247" t="s">
        <v>51</v>
      </c>
      <c r="AL247">
        <v>3.6726999999999999</v>
      </c>
      <c r="AM247" t="s">
        <v>52</v>
      </c>
      <c r="AN247" t="s">
        <v>216</v>
      </c>
      <c r="AO247" t="s">
        <v>54</v>
      </c>
      <c r="AP247" t="s">
        <v>48</v>
      </c>
      <c r="AQ247" t="s">
        <v>55</v>
      </c>
    </row>
    <row r="248" spans="1:43" x14ac:dyDescent="0.3">
      <c r="A248" t="s">
        <v>43</v>
      </c>
      <c r="B248">
        <v>2020</v>
      </c>
      <c r="C248">
        <v>300</v>
      </c>
      <c r="D248">
        <v>5213</v>
      </c>
      <c r="E248">
        <v>30</v>
      </c>
      <c r="F248">
        <v>202305</v>
      </c>
      <c r="G248">
        <v>3100302</v>
      </c>
      <c r="H248" t="s">
        <v>81</v>
      </c>
      <c r="I248" t="s">
        <v>45</v>
      </c>
      <c r="J248">
        <v>7</v>
      </c>
      <c r="K248">
        <f t="shared" ca="1" si="34"/>
        <v>75</v>
      </c>
      <c r="L248">
        <f t="shared" ca="1" si="35"/>
        <v>81</v>
      </c>
      <c r="M248">
        <f t="shared" ca="1" si="36"/>
        <v>90</v>
      </c>
      <c r="N248">
        <f t="shared" ca="1" si="36"/>
        <v>-3</v>
      </c>
      <c r="O248">
        <f t="shared" ca="1" si="33"/>
        <v>297</v>
      </c>
      <c r="P248">
        <f t="shared" ca="1" si="37"/>
        <v>53</v>
      </c>
      <c r="Q248">
        <f t="shared" ca="1" si="38"/>
        <v>1070</v>
      </c>
      <c r="R248">
        <f t="shared" ca="1" si="39"/>
        <v>-38</v>
      </c>
      <c r="S248">
        <f t="shared" ca="1" si="40"/>
        <v>4648</v>
      </c>
      <c r="T248">
        <f t="shared" ca="1" si="41"/>
        <v>6743</v>
      </c>
      <c r="U248">
        <f t="shared" ca="1" si="42"/>
        <v>522</v>
      </c>
      <c r="V248">
        <v>0</v>
      </c>
      <c r="W248">
        <v>0</v>
      </c>
      <c r="X248">
        <f t="shared" ca="1" si="43"/>
        <v>-221</v>
      </c>
      <c r="Y248">
        <v>0</v>
      </c>
      <c r="Z248">
        <v>-1372</v>
      </c>
      <c r="AA248">
        <v>100</v>
      </c>
      <c r="AB248" t="s">
        <v>80</v>
      </c>
      <c r="AC248" t="s">
        <v>82</v>
      </c>
      <c r="AD248">
        <v>1</v>
      </c>
      <c r="AE248">
        <v>52</v>
      </c>
      <c r="AF248">
        <v>265</v>
      </c>
      <c r="AG248" t="s">
        <v>47</v>
      </c>
      <c r="AH248" t="s">
        <v>48</v>
      </c>
      <c r="AI248" t="s">
        <v>49</v>
      </c>
      <c r="AJ248" t="s">
        <v>50</v>
      </c>
      <c r="AK248" t="s">
        <v>51</v>
      </c>
      <c r="AL248">
        <v>3.6726999999999999</v>
      </c>
      <c r="AM248" t="s">
        <v>52</v>
      </c>
      <c r="AN248" t="s">
        <v>216</v>
      </c>
      <c r="AO248" t="s">
        <v>50</v>
      </c>
      <c r="AP248" t="s">
        <v>48</v>
      </c>
      <c r="AQ248" t="s">
        <v>55</v>
      </c>
    </row>
    <row r="249" spans="1:43" x14ac:dyDescent="0.3">
      <c r="A249" t="s">
        <v>43</v>
      </c>
      <c r="B249">
        <v>2020</v>
      </c>
      <c r="C249">
        <v>300</v>
      </c>
      <c r="D249">
        <v>5213</v>
      </c>
      <c r="E249">
        <v>30</v>
      </c>
      <c r="F249">
        <v>202305</v>
      </c>
      <c r="G249">
        <v>3100303</v>
      </c>
      <c r="H249" t="s">
        <v>81</v>
      </c>
      <c r="I249" t="s">
        <v>45</v>
      </c>
      <c r="J249">
        <v>7</v>
      </c>
      <c r="K249">
        <f t="shared" ca="1" si="34"/>
        <v>58</v>
      </c>
      <c r="L249">
        <f t="shared" ca="1" si="35"/>
        <v>-91</v>
      </c>
      <c r="M249">
        <f t="shared" ca="1" si="36"/>
        <v>419</v>
      </c>
      <c r="N249">
        <f t="shared" ca="1" si="36"/>
        <v>344</v>
      </c>
      <c r="O249">
        <f t="shared" ca="1" si="33"/>
        <v>778</v>
      </c>
      <c r="P249">
        <f t="shared" ca="1" si="37"/>
        <v>-374</v>
      </c>
      <c r="Q249">
        <f t="shared" ca="1" si="38"/>
        <v>12</v>
      </c>
      <c r="R249">
        <f t="shared" ca="1" si="39"/>
        <v>128</v>
      </c>
      <c r="S249">
        <f t="shared" ca="1" si="40"/>
        <v>1062</v>
      </c>
      <c r="T249">
        <f t="shared" ca="1" si="41"/>
        <v>1167</v>
      </c>
      <c r="U249">
        <f t="shared" ca="1" si="42"/>
        <v>744</v>
      </c>
      <c r="V249">
        <v>0</v>
      </c>
      <c r="W249">
        <v>0</v>
      </c>
      <c r="X249">
        <f t="shared" ca="1" si="43"/>
        <v>-310</v>
      </c>
      <c r="Y249">
        <v>0</v>
      </c>
      <c r="Z249">
        <v>-1903</v>
      </c>
      <c r="AA249">
        <v>100</v>
      </c>
      <c r="AB249" t="s">
        <v>80</v>
      </c>
      <c r="AC249" t="s">
        <v>83</v>
      </c>
      <c r="AD249">
        <v>1</v>
      </c>
      <c r="AE249">
        <v>52</v>
      </c>
      <c r="AF249">
        <v>265</v>
      </c>
      <c r="AG249" t="s">
        <v>47</v>
      </c>
      <c r="AH249" t="s">
        <v>48</v>
      </c>
      <c r="AI249" t="s">
        <v>49</v>
      </c>
      <c r="AJ249" t="s">
        <v>50</v>
      </c>
      <c r="AK249" t="s">
        <v>51</v>
      </c>
      <c r="AL249">
        <v>3.6726999999999999</v>
      </c>
      <c r="AM249" t="s">
        <v>52</v>
      </c>
      <c r="AN249" t="s">
        <v>216</v>
      </c>
      <c r="AO249" t="s">
        <v>50</v>
      </c>
      <c r="AP249" t="s">
        <v>48</v>
      </c>
      <c r="AQ249" t="s">
        <v>55</v>
      </c>
    </row>
    <row r="250" spans="1:43" x14ac:dyDescent="0.3">
      <c r="A250" t="s">
        <v>43</v>
      </c>
      <c r="B250">
        <v>2020</v>
      </c>
      <c r="C250">
        <v>300</v>
      </c>
      <c r="D250">
        <v>5311</v>
      </c>
      <c r="E250">
        <v>20</v>
      </c>
      <c r="F250">
        <v>202305</v>
      </c>
      <c r="G250">
        <v>2000250</v>
      </c>
      <c r="H250" t="s">
        <v>125</v>
      </c>
      <c r="I250" t="s">
        <v>45</v>
      </c>
      <c r="J250">
        <v>7</v>
      </c>
      <c r="K250">
        <f t="shared" ca="1" si="34"/>
        <v>14</v>
      </c>
      <c r="L250">
        <f t="shared" ca="1" si="35"/>
        <v>-43</v>
      </c>
      <c r="M250">
        <f t="shared" ca="1" si="36"/>
        <v>278</v>
      </c>
      <c r="N250">
        <f t="shared" ca="1" si="36"/>
        <v>203</v>
      </c>
      <c r="O250">
        <f t="shared" ca="1" si="33"/>
        <v>949</v>
      </c>
      <c r="P250">
        <f t="shared" ca="1" si="37"/>
        <v>326</v>
      </c>
      <c r="Q250">
        <f t="shared" ca="1" si="38"/>
        <v>1120</v>
      </c>
      <c r="R250">
        <f t="shared" ca="1" si="39"/>
        <v>396</v>
      </c>
      <c r="S250">
        <f t="shared" ca="1" si="40"/>
        <v>2147</v>
      </c>
      <c r="T250">
        <f t="shared" ca="1" si="41"/>
        <v>5791</v>
      </c>
      <c r="U250">
        <f t="shared" ca="1" si="42"/>
        <v>901</v>
      </c>
      <c r="V250">
        <v>0</v>
      </c>
      <c r="W250">
        <v>0</v>
      </c>
      <c r="X250">
        <f t="shared" ca="1" si="43"/>
        <v>38</v>
      </c>
      <c r="Y250">
        <v>0</v>
      </c>
      <c r="Z250">
        <v>5</v>
      </c>
      <c r="AA250">
        <v>100</v>
      </c>
      <c r="AB250" t="s">
        <v>218</v>
      </c>
      <c r="AC250" t="s">
        <v>142</v>
      </c>
      <c r="AD250">
        <v>1</v>
      </c>
      <c r="AE250">
        <v>52</v>
      </c>
      <c r="AF250">
        <v>265</v>
      </c>
      <c r="AG250" t="s">
        <v>47</v>
      </c>
      <c r="AH250" t="s">
        <v>48</v>
      </c>
      <c r="AI250" t="s">
        <v>49</v>
      </c>
      <c r="AJ250" t="s">
        <v>50</v>
      </c>
      <c r="AK250" t="s">
        <v>51</v>
      </c>
      <c r="AL250">
        <v>3.6726999999999999</v>
      </c>
      <c r="AM250" t="s">
        <v>52</v>
      </c>
      <c r="AN250" t="s">
        <v>128</v>
      </c>
      <c r="AO250" t="s">
        <v>129</v>
      </c>
      <c r="AP250" t="s">
        <v>130</v>
      </c>
      <c r="AQ250" t="s">
        <v>55</v>
      </c>
    </row>
    <row r="251" spans="1:43" x14ac:dyDescent="0.3">
      <c r="A251" t="s">
        <v>43</v>
      </c>
      <c r="B251">
        <v>2020</v>
      </c>
      <c r="C251">
        <v>300</v>
      </c>
      <c r="D251">
        <v>5311</v>
      </c>
      <c r="E251">
        <v>20</v>
      </c>
      <c r="F251">
        <v>202305</v>
      </c>
      <c r="G251">
        <v>2100203</v>
      </c>
      <c r="H251" t="s">
        <v>125</v>
      </c>
      <c r="I251" t="s">
        <v>45</v>
      </c>
      <c r="J251">
        <v>7</v>
      </c>
      <c r="K251">
        <f t="shared" ca="1" si="34"/>
        <v>33</v>
      </c>
      <c r="L251">
        <f t="shared" ca="1" si="35"/>
        <v>-77</v>
      </c>
      <c r="M251">
        <f t="shared" ca="1" si="36"/>
        <v>437</v>
      </c>
      <c r="N251">
        <f t="shared" ca="1" si="36"/>
        <v>301</v>
      </c>
      <c r="O251">
        <f t="shared" ca="1" si="33"/>
        <v>843</v>
      </c>
      <c r="P251">
        <f t="shared" ca="1" si="37"/>
        <v>-297</v>
      </c>
      <c r="Q251">
        <f t="shared" ca="1" si="38"/>
        <v>490</v>
      </c>
      <c r="R251">
        <f t="shared" ca="1" si="39"/>
        <v>353</v>
      </c>
      <c r="S251">
        <f t="shared" ca="1" si="40"/>
        <v>8956</v>
      </c>
      <c r="T251">
        <f t="shared" ca="1" si="41"/>
        <v>9034</v>
      </c>
      <c r="U251">
        <f t="shared" ca="1" si="42"/>
        <v>766</v>
      </c>
      <c r="V251">
        <v>0</v>
      </c>
      <c r="W251">
        <v>0</v>
      </c>
      <c r="X251">
        <f t="shared" ca="1" si="43"/>
        <v>-421</v>
      </c>
      <c r="Y251">
        <v>0</v>
      </c>
      <c r="Z251">
        <v>0</v>
      </c>
      <c r="AA251">
        <v>100</v>
      </c>
      <c r="AB251" t="s">
        <v>126</v>
      </c>
      <c r="AC251" t="s">
        <v>127</v>
      </c>
      <c r="AD251">
        <v>1</v>
      </c>
      <c r="AE251">
        <v>52</v>
      </c>
      <c r="AF251">
        <v>265</v>
      </c>
      <c r="AG251" t="s">
        <v>47</v>
      </c>
      <c r="AH251" t="s">
        <v>48</v>
      </c>
      <c r="AI251" t="s">
        <v>49</v>
      </c>
      <c r="AJ251" t="s">
        <v>50</v>
      </c>
      <c r="AK251" t="s">
        <v>51</v>
      </c>
      <c r="AL251">
        <v>3.6726999999999999</v>
      </c>
      <c r="AM251" t="s">
        <v>52</v>
      </c>
      <c r="AN251" t="s">
        <v>128</v>
      </c>
      <c r="AO251" t="s">
        <v>129</v>
      </c>
      <c r="AP251" t="s">
        <v>130</v>
      </c>
      <c r="AQ251" t="s">
        <v>55</v>
      </c>
    </row>
    <row r="252" spans="1:43" x14ac:dyDescent="0.3">
      <c r="A252" t="s">
        <v>43</v>
      </c>
      <c r="B252">
        <v>2020</v>
      </c>
      <c r="C252">
        <v>300</v>
      </c>
      <c r="D252">
        <v>5311</v>
      </c>
      <c r="E252">
        <v>20</v>
      </c>
      <c r="F252">
        <v>202305</v>
      </c>
      <c r="G252">
        <v>2100206</v>
      </c>
      <c r="H252" t="s">
        <v>125</v>
      </c>
      <c r="I252" t="s">
        <v>45</v>
      </c>
      <c r="J252">
        <v>7</v>
      </c>
      <c r="K252">
        <f t="shared" ca="1" si="34"/>
        <v>74</v>
      </c>
      <c r="L252">
        <f t="shared" ca="1" si="35"/>
        <v>-82</v>
      </c>
      <c r="M252">
        <f t="shared" ca="1" si="36"/>
        <v>120</v>
      </c>
      <c r="N252">
        <f t="shared" ca="1" si="36"/>
        <v>70</v>
      </c>
      <c r="O252">
        <f t="shared" ca="1" si="33"/>
        <v>926</v>
      </c>
      <c r="P252">
        <f t="shared" ca="1" si="37"/>
        <v>1120</v>
      </c>
      <c r="Q252">
        <f t="shared" ca="1" si="38"/>
        <v>211</v>
      </c>
      <c r="R252">
        <f t="shared" ca="1" si="39"/>
        <v>-38</v>
      </c>
      <c r="S252">
        <f t="shared" ca="1" si="40"/>
        <v>7820</v>
      </c>
      <c r="T252">
        <f t="shared" ca="1" si="41"/>
        <v>9983</v>
      </c>
      <c r="U252">
        <f t="shared" ca="1" si="42"/>
        <v>66</v>
      </c>
      <c r="V252">
        <v>0</v>
      </c>
      <c r="W252">
        <v>0</v>
      </c>
      <c r="X252">
        <f t="shared" ca="1" si="43"/>
        <v>-332</v>
      </c>
      <c r="Y252">
        <v>0</v>
      </c>
      <c r="Z252">
        <v>0</v>
      </c>
      <c r="AA252">
        <v>99</v>
      </c>
      <c r="AB252" t="s">
        <v>126</v>
      </c>
      <c r="AC252" t="s">
        <v>131</v>
      </c>
      <c r="AD252">
        <v>1</v>
      </c>
      <c r="AE252">
        <v>52</v>
      </c>
      <c r="AF252">
        <v>265</v>
      </c>
      <c r="AG252" t="s">
        <v>47</v>
      </c>
      <c r="AH252" t="s">
        <v>48</v>
      </c>
      <c r="AI252" t="s">
        <v>49</v>
      </c>
      <c r="AJ252" t="s">
        <v>50</v>
      </c>
      <c r="AK252" t="s">
        <v>51</v>
      </c>
      <c r="AL252">
        <v>3.6726999999999999</v>
      </c>
      <c r="AM252" t="s">
        <v>52</v>
      </c>
      <c r="AN252" t="s">
        <v>128</v>
      </c>
      <c r="AO252" t="s">
        <v>129</v>
      </c>
      <c r="AP252" t="s">
        <v>130</v>
      </c>
      <c r="AQ252" t="s">
        <v>55</v>
      </c>
    </row>
    <row r="253" spans="1:43" x14ac:dyDescent="0.3">
      <c r="A253" t="s">
        <v>43</v>
      </c>
      <c r="B253">
        <v>2020</v>
      </c>
      <c r="C253">
        <v>300</v>
      </c>
      <c r="D253">
        <v>5311</v>
      </c>
      <c r="E253">
        <v>20</v>
      </c>
      <c r="F253">
        <v>202305</v>
      </c>
      <c r="G253">
        <v>2300215</v>
      </c>
      <c r="H253" t="s">
        <v>125</v>
      </c>
      <c r="I253" t="s">
        <v>45</v>
      </c>
      <c r="J253">
        <v>7</v>
      </c>
      <c r="K253">
        <f t="shared" ca="1" si="34"/>
        <v>54</v>
      </c>
      <c r="L253">
        <f t="shared" ca="1" si="35"/>
        <v>-56</v>
      </c>
      <c r="M253">
        <f t="shared" ca="1" si="36"/>
        <v>200</v>
      </c>
      <c r="N253">
        <f t="shared" ca="1" si="36"/>
        <v>-24</v>
      </c>
      <c r="O253">
        <f t="shared" ca="1" si="33"/>
        <v>44</v>
      </c>
      <c r="P253">
        <f t="shared" ca="1" si="37"/>
        <v>1164</v>
      </c>
      <c r="Q253">
        <f t="shared" ca="1" si="38"/>
        <v>668</v>
      </c>
      <c r="R253">
        <f t="shared" ca="1" si="39"/>
        <v>154</v>
      </c>
      <c r="S253">
        <f t="shared" ca="1" si="40"/>
        <v>6413</v>
      </c>
      <c r="T253">
        <f t="shared" ca="1" si="41"/>
        <v>9341</v>
      </c>
      <c r="U253">
        <f t="shared" ca="1" si="42"/>
        <v>676</v>
      </c>
      <c r="V253">
        <v>0</v>
      </c>
      <c r="W253">
        <v>0</v>
      </c>
      <c r="X253">
        <f t="shared" ca="1" si="43"/>
        <v>-32</v>
      </c>
      <c r="Y253">
        <v>0</v>
      </c>
      <c r="Z253">
        <v>0</v>
      </c>
      <c r="AA253">
        <v>100</v>
      </c>
      <c r="AB253" t="s">
        <v>132</v>
      </c>
      <c r="AC253" t="s">
        <v>133</v>
      </c>
      <c r="AD253">
        <v>1</v>
      </c>
      <c r="AE253">
        <v>52</v>
      </c>
      <c r="AF253">
        <v>265</v>
      </c>
      <c r="AG253" t="s">
        <v>47</v>
      </c>
      <c r="AH253" t="s">
        <v>48</v>
      </c>
      <c r="AI253" t="s">
        <v>49</v>
      </c>
      <c r="AJ253" t="s">
        <v>50</v>
      </c>
      <c r="AK253" t="s">
        <v>51</v>
      </c>
      <c r="AL253">
        <v>3.6726999999999999</v>
      </c>
      <c r="AM253" t="s">
        <v>52</v>
      </c>
      <c r="AN253" t="s">
        <v>128</v>
      </c>
      <c r="AO253" t="s">
        <v>129</v>
      </c>
      <c r="AP253" t="s">
        <v>130</v>
      </c>
      <c r="AQ253" t="s">
        <v>55</v>
      </c>
    </row>
    <row r="254" spans="1:43" x14ac:dyDescent="0.3">
      <c r="A254" t="s">
        <v>43</v>
      </c>
      <c r="B254">
        <v>2020</v>
      </c>
      <c r="C254">
        <v>300</v>
      </c>
      <c r="D254">
        <v>5311</v>
      </c>
      <c r="E254">
        <v>20</v>
      </c>
      <c r="F254">
        <v>202305</v>
      </c>
      <c r="G254">
        <v>2700241</v>
      </c>
      <c r="H254" t="s">
        <v>125</v>
      </c>
      <c r="I254" t="s">
        <v>45</v>
      </c>
      <c r="J254">
        <v>7</v>
      </c>
      <c r="K254">
        <f t="shared" ca="1" si="34"/>
        <v>24</v>
      </c>
      <c r="L254">
        <f t="shared" ca="1" si="35"/>
        <v>-49</v>
      </c>
      <c r="M254">
        <f t="shared" ca="1" si="36"/>
        <v>55</v>
      </c>
      <c r="N254">
        <f t="shared" ca="1" si="36"/>
        <v>454</v>
      </c>
      <c r="O254">
        <f t="shared" ca="1" si="33"/>
        <v>619</v>
      </c>
      <c r="P254">
        <f t="shared" ca="1" si="37"/>
        <v>1121</v>
      </c>
      <c r="Q254">
        <f t="shared" ca="1" si="38"/>
        <v>1163</v>
      </c>
      <c r="R254">
        <f t="shared" ca="1" si="39"/>
        <v>419</v>
      </c>
      <c r="S254">
        <f t="shared" ca="1" si="40"/>
        <v>13540</v>
      </c>
      <c r="T254">
        <f t="shared" ca="1" si="41"/>
        <v>1540</v>
      </c>
      <c r="U254">
        <f t="shared" ca="1" si="42"/>
        <v>158</v>
      </c>
      <c r="V254">
        <v>0</v>
      </c>
      <c r="W254">
        <v>0</v>
      </c>
      <c r="X254">
        <f t="shared" ca="1" si="43"/>
        <v>-276</v>
      </c>
      <c r="Y254">
        <v>0</v>
      </c>
      <c r="Z254">
        <v>0</v>
      </c>
      <c r="AA254">
        <v>0</v>
      </c>
      <c r="AB254" t="s">
        <v>136</v>
      </c>
      <c r="AC254" t="s">
        <v>219</v>
      </c>
      <c r="AD254">
        <v>1</v>
      </c>
      <c r="AE254">
        <v>52</v>
      </c>
      <c r="AF254">
        <v>265</v>
      </c>
      <c r="AG254" t="s">
        <v>47</v>
      </c>
      <c r="AH254" t="s">
        <v>48</v>
      </c>
      <c r="AI254" t="s">
        <v>49</v>
      </c>
      <c r="AJ254" t="s">
        <v>50</v>
      </c>
      <c r="AK254" t="s">
        <v>51</v>
      </c>
      <c r="AL254">
        <v>3.6726999999999999</v>
      </c>
      <c r="AM254" t="s">
        <v>52</v>
      </c>
      <c r="AN254" t="s">
        <v>128</v>
      </c>
      <c r="AO254" t="s">
        <v>129</v>
      </c>
      <c r="AP254" t="s">
        <v>130</v>
      </c>
      <c r="AQ254" t="s">
        <v>55</v>
      </c>
    </row>
    <row r="255" spans="1:43" x14ac:dyDescent="0.3">
      <c r="A255" t="s">
        <v>43</v>
      </c>
      <c r="B255">
        <v>2020</v>
      </c>
      <c r="C255">
        <v>300</v>
      </c>
      <c r="D255">
        <v>5311</v>
      </c>
      <c r="E255">
        <v>20</v>
      </c>
      <c r="F255">
        <v>202305</v>
      </c>
      <c r="G255">
        <v>2800207</v>
      </c>
      <c r="H255" t="s">
        <v>125</v>
      </c>
      <c r="I255" t="s">
        <v>45</v>
      </c>
      <c r="J255">
        <v>7</v>
      </c>
      <c r="K255">
        <f t="shared" ca="1" si="34"/>
        <v>56</v>
      </c>
      <c r="L255">
        <f t="shared" ca="1" si="35"/>
        <v>-25</v>
      </c>
      <c r="M255">
        <f t="shared" ca="1" si="36"/>
        <v>450</v>
      </c>
      <c r="N255">
        <f t="shared" ca="1" si="36"/>
        <v>306</v>
      </c>
      <c r="O255">
        <f t="shared" ca="1" si="33"/>
        <v>815</v>
      </c>
      <c r="P255">
        <f t="shared" ca="1" si="37"/>
        <v>76</v>
      </c>
      <c r="Q255">
        <f t="shared" ca="1" si="38"/>
        <v>431</v>
      </c>
      <c r="R255">
        <f t="shared" ca="1" si="39"/>
        <v>34</v>
      </c>
      <c r="S255">
        <f t="shared" ca="1" si="40"/>
        <v>4745</v>
      </c>
      <c r="T255">
        <f t="shared" ca="1" si="41"/>
        <v>805</v>
      </c>
      <c r="U255">
        <f t="shared" ca="1" si="42"/>
        <v>421</v>
      </c>
      <c r="V255">
        <v>0</v>
      </c>
      <c r="W255">
        <v>0</v>
      </c>
      <c r="X255">
        <f t="shared" ca="1" si="43"/>
        <v>-459</v>
      </c>
      <c r="Y255">
        <v>0</v>
      </c>
      <c r="Z255">
        <v>65</v>
      </c>
      <c r="AA255">
        <v>100</v>
      </c>
      <c r="AB255" t="s">
        <v>138</v>
      </c>
      <c r="AC255" t="s">
        <v>86</v>
      </c>
      <c r="AD255">
        <v>1</v>
      </c>
      <c r="AE255">
        <v>52</v>
      </c>
      <c r="AF255">
        <v>265</v>
      </c>
      <c r="AG255" t="s">
        <v>47</v>
      </c>
      <c r="AH255" t="s">
        <v>48</v>
      </c>
      <c r="AI255" t="s">
        <v>49</v>
      </c>
      <c r="AJ255" t="s">
        <v>50</v>
      </c>
      <c r="AK255" t="s">
        <v>51</v>
      </c>
      <c r="AL255">
        <v>3.6726999999999999</v>
      </c>
      <c r="AM255" t="s">
        <v>52</v>
      </c>
      <c r="AN255" t="s">
        <v>128</v>
      </c>
      <c r="AO255" t="s">
        <v>129</v>
      </c>
      <c r="AP255" t="s">
        <v>130</v>
      </c>
      <c r="AQ255" t="s">
        <v>55</v>
      </c>
    </row>
    <row r="256" spans="1:43" x14ac:dyDescent="0.3">
      <c r="A256" t="s">
        <v>43</v>
      </c>
      <c r="B256">
        <v>2020</v>
      </c>
      <c r="C256">
        <v>300</v>
      </c>
      <c r="D256">
        <v>5311</v>
      </c>
      <c r="E256">
        <v>20</v>
      </c>
      <c r="F256">
        <v>202305</v>
      </c>
      <c r="G256">
        <v>2800211</v>
      </c>
      <c r="H256" t="s">
        <v>125</v>
      </c>
      <c r="I256" t="s">
        <v>45</v>
      </c>
      <c r="J256">
        <v>7</v>
      </c>
      <c r="K256">
        <f t="shared" ca="1" si="34"/>
        <v>58</v>
      </c>
      <c r="L256">
        <f t="shared" ca="1" si="35"/>
        <v>-12</v>
      </c>
      <c r="M256">
        <f t="shared" ca="1" si="36"/>
        <v>360</v>
      </c>
      <c r="N256">
        <f t="shared" ca="1" si="36"/>
        <v>121</v>
      </c>
      <c r="O256">
        <f t="shared" ca="1" si="33"/>
        <v>554</v>
      </c>
      <c r="P256">
        <f t="shared" ca="1" si="37"/>
        <v>29</v>
      </c>
      <c r="Q256">
        <f t="shared" ca="1" si="38"/>
        <v>335</v>
      </c>
      <c r="R256">
        <f t="shared" ca="1" si="39"/>
        <v>235</v>
      </c>
      <c r="S256">
        <f t="shared" ca="1" si="40"/>
        <v>12767</v>
      </c>
      <c r="T256">
        <f t="shared" ca="1" si="41"/>
        <v>88</v>
      </c>
      <c r="U256">
        <f t="shared" ca="1" si="42"/>
        <v>166</v>
      </c>
      <c r="V256">
        <v>0</v>
      </c>
      <c r="W256">
        <v>0</v>
      </c>
      <c r="X256">
        <f t="shared" ca="1" si="43"/>
        <v>-1</v>
      </c>
      <c r="Y256">
        <v>0</v>
      </c>
      <c r="Z256">
        <v>9</v>
      </c>
      <c r="AA256">
        <v>100</v>
      </c>
      <c r="AB256" t="s">
        <v>138</v>
      </c>
      <c r="AC256" t="s">
        <v>140</v>
      </c>
      <c r="AD256">
        <v>1</v>
      </c>
      <c r="AE256">
        <v>52</v>
      </c>
      <c r="AF256">
        <v>265</v>
      </c>
      <c r="AG256" t="s">
        <v>47</v>
      </c>
      <c r="AH256" t="s">
        <v>48</v>
      </c>
      <c r="AI256" t="s">
        <v>49</v>
      </c>
      <c r="AJ256" t="s">
        <v>50</v>
      </c>
      <c r="AK256" t="s">
        <v>51</v>
      </c>
      <c r="AL256">
        <v>3.6726999999999999</v>
      </c>
      <c r="AM256" t="s">
        <v>52</v>
      </c>
      <c r="AN256" t="s">
        <v>128</v>
      </c>
      <c r="AO256" t="s">
        <v>129</v>
      </c>
      <c r="AP256" t="s">
        <v>130</v>
      </c>
      <c r="AQ256" t="s">
        <v>55</v>
      </c>
    </row>
    <row r="257" spans="1:43" x14ac:dyDescent="0.3">
      <c r="A257" t="s">
        <v>43</v>
      </c>
      <c r="B257">
        <v>2020</v>
      </c>
      <c r="C257">
        <v>300</v>
      </c>
      <c r="D257">
        <v>5311</v>
      </c>
      <c r="E257">
        <v>20</v>
      </c>
      <c r="F257">
        <v>202305</v>
      </c>
      <c r="G257">
        <v>2800250</v>
      </c>
      <c r="H257" t="s">
        <v>125</v>
      </c>
      <c r="I257" t="s">
        <v>45</v>
      </c>
      <c r="J257">
        <v>7</v>
      </c>
      <c r="K257">
        <f t="shared" ca="1" si="34"/>
        <v>58</v>
      </c>
      <c r="L257">
        <f t="shared" ca="1" si="35"/>
        <v>-24</v>
      </c>
      <c r="M257">
        <f t="shared" ca="1" si="36"/>
        <v>249</v>
      </c>
      <c r="N257">
        <f t="shared" ca="1" si="36"/>
        <v>95</v>
      </c>
      <c r="O257">
        <f t="shared" ca="1" si="33"/>
        <v>821</v>
      </c>
      <c r="P257">
        <f t="shared" ca="1" si="37"/>
        <v>1405</v>
      </c>
      <c r="Q257">
        <f t="shared" ca="1" si="38"/>
        <v>1104</v>
      </c>
      <c r="R257">
        <f t="shared" ca="1" si="39"/>
        <v>472</v>
      </c>
      <c r="S257">
        <f t="shared" ca="1" si="40"/>
        <v>3982</v>
      </c>
      <c r="T257">
        <f t="shared" ca="1" si="41"/>
        <v>9861</v>
      </c>
      <c r="U257">
        <f t="shared" ca="1" si="42"/>
        <v>297</v>
      </c>
      <c r="V257">
        <v>0</v>
      </c>
      <c r="W257">
        <v>0</v>
      </c>
      <c r="X257">
        <f t="shared" ca="1" si="43"/>
        <v>83</v>
      </c>
      <c r="Y257">
        <v>0</v>
      </c>
      <c r="Z257">
        <v>0</v>
      </c>
      <c r="AA257">
        <v>100</v>
      </c>
      <c r="AB257" t="s">
        <v>138</v>
      </c>
      <c r="AC257" t="s">
        <v>142</v>
      </c>
      <c r="AD257">
        <v>1</v>
      </c>
      <c r="AE257">
        <v>52</v>
      </c>
      <c r="AF257">
        <v>265</v>
      </c>
      <c r="AG257" t="s">
        <v>47</v>
      </c>
      <c r="AH257" t="s">
        <v>48</v>
      </c>
      <c r="AI257" t="s">
        <v>49</v>
      </c>
      <c r="AJ257" t="s">
        <v>50</v>
      </c>
      <c r="AK257" t="s">
        <v>51</v>
      </c>
      <c r="AL257">
        <v>3.6726999999999999</v>
      </c>
      <c r="AM257" t="s">
        <v>52</v>
      </c>
      <c r="AN257" t="s">
        <v>128</v>
      </c>
      <c r="AO257" t="s">
        <v>129</v>
      </c>
      <c r="AP257" t="s">
        <v>130</v>
      </c>
      <c r="AQ257" t="s">
        <v>55</v>
      </c>
    </row>
    <row r="258" spans="1:43" x14ac:dyDescent="0.3">
      <c r="A258" t="s">
        <v>43</v>
      </c>
      <c r="B258">
        <v>2020</v>
      </c>
      <c r="C258">
        <v>300</v>
      </c>
      <c r="D258">
        <v>5311</v>
      </c>
      <c r="E258">
        <v>20</v>
      </c>
      <c r="F258">
        <v>202305</v>
      </c>
      <c r="G258">
        <v>2800272</v>
      </c>
      <c r="H258" t="s">
        <v>125</v>
      </c>
      <c r="I258" t="s">
        <v>45</v>
      </c>
      <c r="J258">
        <v>7</v>
      </c>
      <c r="K258">
        <f t="shared" ca="1" si="34"/>
        <v>79</v>
      </c>
      <c r="L258">
        <f t="shared" ca="1" si="35"/>
        <v>12</v>
      </c>
      <c r="M258">
        <f t="shared" ca="1" si="36"/>
        <v>359</v>
      </c>
      <c r="N258">
        <f t="shared" ca="1" si="36"/>
        <v>412</v>
      </c>
      <c r="O258">
        <f t="shared" ref="O258:O321" ca="1" si="44">RANDBETWEEN(-100, 1000)</f>
        <v>429</v>
      </c>
      <c r="P258">
        <f t="shared" ca="1" si="37"/>
        <v>267</v>
      </c>
      <c r="Q258">
        <f t="shared" ca="1" si="38"/>
        <v>21</v>
      </c>
      <c r="R258">
        <f t="shared" ca="1" si="39"/>
        <v>271</v>
      </c>
      <c r="S258">
        <f t="shared" ca="1" si="40"/>
        <v>12211</v>
      </c>
      <c r="T258">
        <f t="shared" ca="1" si="41"/>
        <v>845</v>
      </c>
      <c r="U258">
        <f t="shared" ca="1" si="42"/>
        <v>197</v>
      </c>
      <c r="V258">
        <v>0</v>
      </c>
      <c r="W258">
        <v>0</v>
      </c>
      <c r="X258">
        <f t="shared" ca="1" si="43"/>
        <v>-43</v>
      </c>
      <c r="Y258">
        <v>0</v>
      </c>
      <c r="Z258">
        <v>0</v>
      </c>
      <c r="AA258">
        <v>100</v>
      </c>
      <c r="AB258" t="s">
        <v>138</v>
      </c>
      <c r="AC258" t="s">
        <v>220</v>
      </c>
      <c r="AD258">
        <v>1</v>
      </c>
      <c r="AE258">
        <v>52</v>
      </c>
      <c r="AF258">
        <v>265</v>
      </c>
      <c r="AG258" t="s">
        <v>47</v>
      </c>
      <c r="AH258" t="s">
        <v>48</v>
      </c>
      <c r="AI258" t="s">
        <v>49</v>
      </c>
      <c r="AJ258" t="s">
        <v>50</v>
      </c>
      <c r="AK258" t="s">
        <v>51</v>
      </c>
      <c r="AL258">
        <v>3.6726999999999999</v>
      </c>
      <c r="AM258" t="s">
        <v>52</v>
      </c>
      <c r="AN258" t="s">
        <v>128</v>
      </c>
      <c r="AO258" t="s">
        <v>129</v>
      </c>
      <c r="AP258" t="s">
        <v>130</v>
      </c>
      <c r="AQ258" t="s">
        <v>55</v>
      </c>
    </row>
    <row r="259" spans="1:43" x14ac:dyDescent="0.3">
      <c r="A259" t="s">
        <v>43</v>
      </c>
      <c r="B259">
        <v>2020</v>
      </c>
      <c r="C259">
        <v>300</v>
      </c>
      <c r="D259">
        <v>5311</v>
      </c>
      <c r="E259">
        <v>20</v>
      </c>
      <c r="F259">
        <v>202305</v>
      </c>
      <c r="G259">
        <v>2900260</v>
      </c>
      <c r="H259" t="s">
        <v>125</v>
      </c>
      <c r="I259" t="s">
        <v>45</v>
      </c>
      <c r="J259">
        <v>7</v>
      </c>
      <c r="K259">
        <f t="shared" ref="K259:K322" ca="1" si="45">RANDBETWEEN(0, 100)</f>
        <v>67</v>
      </c>
      <c r="L259">
        <f t="shared" ref="L259:L322" ca="1" si="46">RANDBETWEEN(-100, 100)</f>
        <v>71</v>
      </c>
      <c r="M259">
        <f t="shared" ref="M259:N322" ca="1" si="47">RANDBETWEEN(-100, 500)</f>
        <v>393</v>
      </c>
      <c r="N259">
        <f t="shared" ca="1" si="47"/>
        <v>11</v>
      </c>
      <c r="O259">
        <f t="shared" ca="1" si="44"/>
        <v>726</v>
      </c>
      <c r="P259">
        <f t="shared" ref="P259:P322" ca="1" si="48">RANDBETWEEN(-500, 1500)</f>
        <v>-154</v>
      </c>
      <c r="Q259">
        <f t="shared" ref="Q259:Q322" ca="1" si="49">RANDBETWEEN(0,1200)</f>
        <v>313</v>
      </c>
      <c r="R259">
        <f t="shared" ref="R259:R322" ca="1" si="50">RANDBETWEEN(-100, 500)</f>
        <v>82</v>
      </c>
      <c r="S259">
        <f t="shared" ref="S259:S322" ca="1" si="51">RANDBETWEEN(-100, 15000)</f>
        <v>9049</v>
      </c>
      <c r="T259">
        <f t="shared" ref="T259:T322" ca="1" si="52">RANDBETWEEN(-100, 10000)</f>
        <v>1524</v>
      </c>
      <c r="U259">
        <f t="shared" ref="U259:U322" ca="1" si="53">RANDBETWEEN(-100, 1300)</f>
        <v>496</v>
      </c>
      <c r="V259">
        <v>0</v>
      </c>
      <c r="W259">
        <v>0</v>
      </c>
      <c r="X259">
        <f t="shared" ref="X259:X322" ca="1" si="54">RANDBETWEEN(-500, 100)</f>
        <v>-97</v>
      </c>
      <c r="Y259">
        <v>0</v>
      </c>
      <c r="Z259">
        <v>0</v>
      </c>
      <c r="AA259">
        <v>86</v>
      </c>
      <c r="AB259" t="s">
        <v>145</v>
      </c>
      <c r="AC259" t="s">
        <v>146</v>
      </c>
      <c r="AD259">
        <v>1</v>
      </c>
      <c r="AE259">
        <v>52</v>
      </c>
      <c r="AF259">
        <v>265</v>
      </c>
      <c r="AG259" t="s">
        <v>47</v>
      </c>
      <c r="AH259" t="s">
        <v>48</v>
      </c>
      <c r="AI259" t="s">
        <v>49</v>
      </c>
      <c r="AJ259" t="s">
        <v>50</v>
      </c>
      <c r="AK259" t="s">
        <v>51</v>
      </c>
      <c r="AL259">
        <v>3.6726999999999999</v>
      </c>
      <c r="AM259" t="s">
        <v>52</v>
      </c>
      <c r="AN259" t="s">
        <v>128</v>
      </c>
      <c r="AO259" t="s">
        <v>129</v>
      </c>
      <c r="AP259" t="s">
        <v>130</v>
      </c>
      <c r="AQ259" t="s">
        <v>55</v>
      </c>
    </row>
    <row r="260" spans="1:43" x14ac:dyDescent="0.3">
      <c r="A260" t="s">
        <v>43</v>
      </c>
      <c r="B260">
        <v>2020</v>
      </c>
      <c r="C260">
        <v>300</v>
      </c>
      <c r="D260">
        <v>5311</v>
      </c>
      <c r="E260">
        <v>20</v>
      </c>
      <c r="F260">
        <v>202305</v>
      </c>
      <c r="G260">
        <v>2900261</v>
      </c>
      <c r="H260" t="s">
        <v>125</v>
      </c>
      <c r="I260" t="s">
        <v>45</v>
      </c>
      <c r="J260">
        <v>7</v>
      </c>
      <c r="K260">
        <f t="shared" ca="1" si="45"/>
        <v>17</v>
      </c>
      <c r="L260">
        <f t="shared" ca="1" si="46"/>
        <v>-33</v>
      </c>
      <c r="M260">
        <f t="shared" ca="1" si="47"/>
        <v>279</v>
      </c>
      <c r="N260">
        <f t="shared" ca="1" si="47"/>
        <v>390</v>
      </c>
      <c r="O260">
        <f t="shared" ca="1" si="44"/>
        <v>117</v>
      </c>
      <c r="P260">
        <f t="shared" ca="1" si="48"/>
        <v>474</v>
      </c>
      <c r="Q260">
        <f t="shared" ca="1" si="49"/>
        <v>355</v>
      </c>
      <c r="R260">
        <f t="shared" ca="1" si="50"/>
        <v>235</v>
      </c>
      <c r="S260">
        <f t="shared" ca="1" si="51"/>
        <v>14936</v>
      </c>
      <c r="T260">
        <f t="shared" ca="1" si="52"/>
        <v>1180</v>
      </c>
      <c r="U260">
        <f t="shared" ca="1" si="53"/>
        <v>441</v>
      </c>
      <c r="V260">
        <v>0</v>
      </c>
      <c r="W260">
        <v>0</v>
      </c>
      <c r="X260">
        <f t="shared" ca="1" si="54"/>
        <v>-226</v>
      </c>
      <c r="Y260">
        <v>0</v>
      </c>
      <c r="Z260">
        <v>0</v>
      </c>
      <c r="AA260">
        <v>59</v>
      </c>
      <c r="AB260" t="s">
        <v>145</v>
      </c>
      <c r="AC260" t="s">
        <v>147</v>
      </c>
      <c r="AD260">
        <v>1</v>
      </c>
      <c r="AE260">
        <v>52</v>
      </c>
      <c r="AF260">
        <v>265</v>
      </c>
      <c r="AG260" t="s">
        <v>47</v>
      </c>
      <c r="AH260" t="s">
        <v>48</v>
      </c>
      <c r="AI260" t="s">
        <v>49</v>
      </c>
      <c r="AJ260" t="s">
        <v>50</v>
      </c>
      <c r="AK260" t="s">
        <v>51</v>
      </c>
      <c r="AL260">
        <v>3.6726999999999999</v>
      </c>
      <c r="AM260" t="s">
        <v>52</v>
      </c>
      <c r="AN260" t="s">
        <v>128</v>
      </c>
      <c r="AO260" t="s">
        <v>129</v>
      </c>
      <c r="AP260" t="s">
        <v>130</v>
      </c>
      <c r="AQ260" t="s">
        <v>55</v>
      </c>
    </row>
    <row r="261" spans="1:43" x14ac:dyDescent="0.3">
      <c r="A261" t="s">
        <v>43</v>
      </c>
      <c r="B261">
        <v>2020</v>
      </c>
      <c r="C261">
        <v>300</v>
      </c>
      <c r="D261">
        <v>5311</v>
      </c>
      <c r="E261">
        <v>20</v>
      </c>
      <c r="F261">
        <v>202305</v>
      </c>
      <c r="G261">
        <v>2900265</v>
      </c>
      <c r="H261" t="s">
        <v>125</v>
      </c>
      <c r="I261" t="s">
        <v>45</v>
      </c>
      <c r="J261">
        <v>7</v>
      </c>
      <c r="K261">
        <f t="shared" ca="1" si="45"/>
        <v>35</v>
      </c>
      <c r="L261">
        <f t="shared" ca="1" si="46"/>
        <v>-57</v>
      </c>
      <c r="M261">
        <f t="shared" ca="1" si="47"/>
        <v>33</v>
      </c>
      <c r="N261">
        <f t="shared" ca="1" si="47"/>
        <v>144</v>
      </c>
      <c r="O261">
        <f t="shared" ca="1" si="44"/>
        <v>433</v>
      </c>
      <c r="P261">
        <f t="shared" ca="1" si="48"/>
        <v>513</v>
      </c>
      <c r="Q261">
        <f t="shared" ca="1" si="49"/>
        <v>1072</v>
      </c>
      <c r="R261">
        <f t="shared" ca="1" si="50"/>
        <v>-41</v>
      </c>
      <c r="S261">
        <f t="shared" ca="1" si="51"/>
        <v>8243</v>
      </c>
      <c r="T261">
        <f t="shared" ca="1" si="52"/>
        <v>659</v>
      </c>
      <c r="U261">
        <f t="shared" ca="1" si="53"/>
        <v>852</v>
      </c>
      <c r="V261">
        <v>0</v>
      </c>
      <c r="W261">
        <v>0</v>
      </c>
      <c r="X261">
        <f t="shared" ca="1" si="54"/>
        <v>-95</v>
      </c>
      <c r="Y261">
        <v>0</v>
      </c>
      <c r="Z261">
        <v>0</v>
      </c>
      <c r="AA261">
        <v>0</v>
      </c>
      <c r="AB261" t="s">
        <v>145</v>
      </c>
      <c r="AC261" t="s">
        <v>148</v>
      </c>
      <c r="AD261">
        <v>1</v>
      </c>
      <c r="AE261">
        <v>52</v>
      </c>
      <c r="AF261">
        <v>265</v>
      </c>
      <c r="AG261" t="s">
        <v>47</v>
      </c>
      <c r="AH261" t="s">
        <v>48</v>
      </c>
      <c r="AI261" t="s">
        <v>49</v>
      </c>
      <c r="AJ261" t="s">
        <v>50</v>
      </c>
      <c r="AK261" t="s">
        <v>51</v>
      </c>
      <c r="AL261">
        <v>3.6726999999999999</v>
      </c>
      <c r="AM261" t="s">
        <v>52</v>
      </c>
      <c r="AN261" t="s">
        <v>128</v>
      </c>
      <c r="AO261" t="s">
        <v>129</v>
      </c>
      <c r="AP261" t="s">
        <v>130</v>
      </c>
      <c r="AQ261" t="s">
        <v>55</v>
      </c>
    </row>
    <row r="262" spans="1:43" x14ac:dyDescent="0.3">
      <c r="A262" t="s">
        <v>43</v>
      </c>
      <c r="B262">
        <v>2020</v>
      </c>
      <c r="C262">
        <v>300</v>
      </c>
      <c r="D262">
        <v>5311</v>
      </c>
      <c r="E262">
        <v>20</v>
      </c>
      <c r="F262">
        <v>202305</v>
      </c>
      <c r="G262">
        <v>2900276</v>
      </c>
      <c r="H262" t="s">
        <v>125</v>
      </c>
      <c r="I262" t="s">
        <v>45</v>
      </c>
      <c r="J262">
        <v>7</v>
      </c>
      <c r="K262">
        <f t="shared" ca="1" si="45"/>
        <v>55</v>
      </c>
      <c r="L262">
        <f t="shared" ca="1" si="46"/>
        <v>-32</v>
      </c>
      <c r="M262">
        <f t="shared" ca="1" si="47"/>
        <v>438</v>
      </c>
      <c r="N262">
        <f t="shared" ca="1" si="47"/>
        <v>434</v>
      </c>
      <c r="O262">
        <f t="shared" ca="1" si="44"/>
        <v>283</v>
      </c>
      <c r="P262">
        <f t="shared" ca="1" si="48"/>
        <v>1266</v>
      </c>
      <c r="Q262">
        <f t="shared" ca="1" si="49"/>
        <v>951</v>
      </c>
      <c r="R262">
        <f t="shared" ca="1" si="50"/>
        <v>207</v>
      </c>
      <c r="S262">
        <f t="shared" ca="1" si="51"/>
        <v>3262</v>
      </c>
      <c r="T262">
        <f t="shared" ca="1" si="52"/>
        <v>5192</v>
      </c>
      <c r="U262">
        <f t="shared" ca="1" si="53"/>
        <v>259</v>
      </c>
      <c r="V262">
        <v>0</v>
      </c>
      <c r="W262">
        <v>0</v>
      </c>
      <c r="X262">
        <f t="shared" ca="1" si="54"/>
        <v>-115</v>
      </c>
      <c r="Y262">
        <v>0</v>
      </c>
      <c r="Z262">
        <v>0</v>
      </c>
      <c r="AA262">
        <v>24</v>
      </c>
      <c r="AB262" t="s">
        <v>145</v>
      </c>
      <c r="AC262" t="s">
        <v>149</v>
      </c>
      <c r="AD262">
        <v>1</v>
      </c>
      <c r="AE262">
        <v>52</v>
      </c>
      <c r="AF262">
        <v>265</v>
      </c>
      <c r="AG262" t="s">
        <v>47</v>
      </c>
      <c r="AH262" t="s">
        <v>48</v>
      </c>
      <c r="AI262" t="s">
        <v>49</v>
      </c>
      <c r="AJ262" t="s">
        <v>50</v>
      </c>
      <c r="AK262" t="s">
        <v>51</v>
      </c>
      <c r="AL262">
        <v>3.6726999999999999</v>
      </c>
      <c r="AM262" t="s">
        <v>52</v>
      </c>
      <c r="AN262" t="s">
        <v>128</v>
      </c>
      <c r="AO262" t="s">
        <v>129</v>
      </c>
      <c r="AP262" t="s">
        <v>130</v>
      </c>
      <c r="AQ262" t="s">
        <v>55</v>
      </c>
    </row>
    <row r="263" spans="1:43" x14ac:dyDescent="0.3">
      <c r="A263" t="s">
        <v>43</v>
      </c>
      <c r="B263">
        <v>2020</v>
      </c>
      <c r="C263">
        <v>300</v>
      </c>
      <c r="D263">
        <v>5511</v>
      </c>
      <c r="E263">
        <v>10</v>
      </c>
      <c r="F263">
        <v>202305</v>
      </c>
      <c r="G263">
        <v>1100102</v>
      </c>
      <c r="H263" t="s">
        <v>160</v>
      </c>
      <c r="I263" t="s">
        <v>45</v>
      </c>
      <c r="J263">
        <v>7</v>
      </c>
      <c r="K263">
        <f t="shared" ca="1" si="45"/>
        <v>65</v>
      </c>
      <c r="L263">
        <f t="shared" ca="1" si="46"/>
        <v>-2</v>
      </c>
      <c r="M263">
        <f t="shared" ca="1" si="47"/>
        <v>257</v>
      </c>
      <c r="N263">
        <f t="shared" ca="1" si="47"/>
        <v>21</v>
      </c>
      <c r="O263">
        <f t="shared" ca="1" si="44"/>
        <v>-10</v>
      </c>
      <c r="P263">
        <f t="shared" ca="1" si="48"/>
        <v>-333</v>
      </c>
      <c r="Q263">
        <f t="shared" ca="1" si="49"/>
        <v>364</v>
      </c>
      <c r="R263">
        <f t="shared" ca="1" si="50"/>
        <v>185</v>
      </c>
      <c r="S263">
        <f t="shared" ca="1" si="51"/>
        <v>5872</v>
      </c>
      <c r="T263">
        <f t="shared" ca="1" si="52"/>
        <v>4697</v>
      </c>
      <c r="U263">
        <f t="shared" ca="1" si="53"/>
        <v>534</v>
      </c>
      <c r="V263">
        <v>0</v>
      </c>
      <c r="W263">
        <v>0</v>
      </c>
      <c r="X263">
        <f t="shared" ca="1" si="54"/>
        <v>-369</v>
      </c>
      <c r="Y263">
        <v>0</v>
      </c>
      <c r="Z263">
        <v>0</v>
      </c>
      <c r="AA263">
        <v>74</v>
      </c>
      <c r="AB263" t="s">
        <v>65</v>
      </c>
      <c r="AC263" t="s">
        <v>165</v>
      </c>
      <c r="AD263">
        <v>1</v>
      </c>
      <c r="AE263">
        <v>52</v>
      </c>
      <c r="AF263">
        <v>265</v>
      </c>
      <c r="AG263" t="s">
        <v>47</v>
      </c>
      <c r="AH263" t="s">
        <v>48</v>
      </c>
      <c r="AI263" t="s">
        <v>49</v>
      </c>
      <c r="AJ263" t="s">
        <v>50</v>
      </c>
      <c r="AK263" t="s">
        <v>51</v>
      </c>
      <c r="AL263">
        <v>3.6726999999999999</v>
      </c>
      <c r="AM263" t="s">
        <v>52</v>
      </c>
      <c r="AN263" t="s">
        <v>162</v>
      </c>
      <c r="AO263" t="s">
        <v>163</v>
      </c>
      <c r="AP263" t="s">
        <v>164</v>
      </c>
      <c r="AQ263" t="s">
        <v>55</v>
      </c>
    </row>
    <row r="264" spans="1:43" x14ac:dyDescent="0.3">
      <c r="A264" t="s">
        <v>43</v>
      </c>
      <c r="B264">
        <v>2020</v>
      </c>
      <c r="C264">
        <v>300</v>
      </c>
      <c r="D264">
        <v>5511</v>
      </c>
      <c r="E264">
        <v>10</v>
      </c>
      <c r="F264">
        <v>202305</v>
      </c>
      <c r="G264">
        <v>1100103</v>
      </c>
      <c r="H264" t="s">
        <v>160</v>
      </c>
      <c r="I264" t="s">
        <v>45</v>
      </c>
      <c r="J264">
        <v>7</v>
      </c>
      <c r="K264">
        <f t="shared" ca="1" si="45"/>
        <v>58</v>
      </c>
      <c r="L264">
        <f t="shared" ca="1" si="46"/>
        <v>-94</v>
      </c>
      <c r="M264">
        <f t="shared" ca="1" si="47"/>
        <v>451</v>
      </c>
      <c r="N264">
        <f t="shared" ca="1" si="47"/>
        <v>-66</v>
      </c>
      <c r="O264">
        <f t="shared" ca="1" si="44"/>
        <v>328</v>
      </c>
      <c r="P264">
        <f t="shared" ca="1" si="48"/>
        <v>470</v>
      </c>
      <c r="Q264">
        <f t="shared" ca="1" si="49"/>
        <v>548</v>
      </c>
      <c r="R264">
        <f t="shared" ca="1" si="50"/>
        <v>439</v>
      </c>
      <c r="S264">
        <f t="shared" ca="1" si="51"/>
        <v>12425</v>
      </c>
      <c r="T264">
        <f t="shared" ca="1" si="52"/>
        <v>9224</v>
      </c>
      <c r="U264">
        <f t="shared" ca="1" si="53"/>
        <v>77</v>
      </c>
      <c r="V264">
        <v>0</v>
      </c>
      <c r="W264">
        <v>0</v>
      </c>
      <c r="X264">
        <f t="shared" ca="1" si="54"/>
        <v>-216</v>
      </c>
      <c r="Y264">
        <v>0</v>
      </c>
      <c r="Z264">
        <v>0</v>
      </c>
      <c r="AA264">
        <v>100</v>
      </c>
      <c r="AB264" t="s">
        <v>65</v>
      </c>
      <c r="AC264" t="s">
        <v>166</v>
      </c>
      <c r="AD264">
        <v>1</v>
      </c>
      <c r="AE264">
        <v>52</v>
      </c>
      <c r="AF264">
        <v>265</v>
      </c>
      <c r="AG264" t="s">
        <v>47</v>
      </c>
      <c r="AH264" t="s">
        <v>48</v>
      </c>
      <c r="AI264" t="s">
        <v>49</v>
      </c>
      <c r="AJ264" t="s">
        <v>50</v>
      </c>
      <c r="AK264" t="s">
        <v>51</v>
      </c>
      <c r="AL264">
        <v>3.6726999999999999</v>
      </c>
      <c r="AM264" t="s">
        <v>52</v>
      </c>
      <c r="AN264" t="s">
        <v>162</v>
      </c>
      <c r="AO264" t="s">
        <v>163</v>
      </c>
      <c r="AP264" t="s">
        <v>164</v>
      </c>
      <c r="AQ264" t="s">
        <v>55</v>
      </c>
    </row>
    <row r="265" spans="1:43" x14ac:dyDescent="0.3">
      <c r="A265" t="s">
        <v>43</v>
      </c>
      <c r="B265">
        <v>2020</v>
      </c>
      <c r="C265">
        <v>300</v>
      </c>
      <c r="D265">
        <v>5511</v>
      </c>
      <c r="E265">
        <v>10</v>
      </c>
      <c r="F265">
        <v>202305</v>
      </c>
      <c r="G265">
        <v>1100105</v>
      </c>
      <c r="H265" t="s">
        <v>160</v>
      </c>
      <c r="I265" t="s">
        <v>45</v>
      </c>
      <c r="J265">
        <v>7</v>
      </c>
      <c r="K265">
        <f t="shared" ca="1" si="45"/>
        <v>68</v>
      </c>
      <c r="L265">
        <f t="shared" ca="1" si="46"/>
        <v>28</v>
      </c>
      <c r="M265">
        <f t="shared" ca="1" si="47"/>
        <v>-19</v>
      </c>
      <c r="N265">
        <f t="shared" ca="1" si="47"/>
        <v>79</v>
      </c>
      <c r="O265">
        <f t="shared" ca="1" si="44"/>
        <v>579</v>
      </c>
      <c r="P265">
        <f t="shared" ca="1" si="48"/>
        <v>903</v>
      </c>
      <c r="Q265">
        <f t="shared" ca="1" si="49"/>
        <v>51</v>
      </c>
      <c r="R265">
        <f t="shared" ca="1" si="50"/>
        <v>428</v>
      </c>
      <c r="S265">
        <f t="shared" ca="1" si="51"/>
        <v>8969</v>
      </c>
      <c r="T265">
        <f t="shared" ca="1" si="52"/>
        <v>8935</v>
      </c>
      <c r="U265">
        <f t="shared" ca="1" si="53"/>
        <v>1262</v>
      </c>
      <c r="V265">
        <v>0</v>
      </c>
      <c r="W265">
        <v>0</v>
      </c>
      <c r="X265">
        <f t="shared" ca="1" si="54"/>
        <v>90</v>
      </c>
      <c r="Y265">
        <v>0</v>
      </c>
      <c r="Z265">
        <v>0</v>
      </c>
      <c r="AA265">
        <v>59</v>
      </c>
      <c r="AB265" t="s">
        <v>65</v>
      </c>
      <c r="AC265" t="s">
        <v>167</v>
      </c>
      <c r="AD265">
        <v>1</v>
      </c>
      <c r="AE265">
        <v>52</v>
      </c>
      <c r="AF265">
        <v>265</v>
      </c>
      <c r="AG265" t="s">
        <v>47</v>
      </c>
      <c r="AH265" t="s">
        <v>48</v>
      </c>
      <c r="AI265" t="s">
        <v>49</v>
      </c>
      <c r="AJ265" t="s">
        <v>50</v>
      </c>
      <c r="AK265" t="s">
        <v>51</v>
      </c>
      <c r="AL265">
        <v>3.6726999999999999</v>
      </c>
      <c r="AM265" t="s">
        <v>52</v>
      </c>
      <c r="AN265" t="s">
        <v>162</v>
      </c>
      <c r="AO265" t="s">
        <v>163</v>
      </c>
      <c r="AP265" t="s">
        <v>164</v>
      </c>
      <c r="AQ265" t="s">
        <v>55</v>
      </c>
    </row>
    <row r="266" spans="1:43" x14ac:dyDescent="0.3">
      <c r="A266" t="s">
        <v>43</v>
      </c>
      <c r="B266">
        <v>2020</v>
      </c>
      <c r="C266">
        <v>300</v>
      </c>
      <c r="D266">
        <v>5511</v>
      </c>
      <c r="E266">
        <v>10</v>
      </c>
      <c r="F266">
        <v>202305</v>
      </c>
      <c r="G266">
        <v>1100106</v>
      </c>
      <c r="H266" t="s">
        <v>160</v>
      </c>
      <c r="I266" t="s">
        <v>45</v>
      </c>
      <c r="J266">
        <v>7</v>
      </c>
      <c r="K266">
        <f t="shared" ca="1" si="45"/>
        <v>16</v>
      </c>
      <c r="L266">
        <f t="shared" ca="1" si="46"/>
        <v>87</v>
      </c>
      <c r="M266">
        <f t="shared" ca="1" si="47"/>
        <v>363</v>
      </c>
      <c r="N266">
        <f t="shared" ca="1" si="47"/>
        <v>311</v>
      </c>
      <c r="O266">
        <f t="shared" ca="1" si="44"/>
        <v>491</v>
      </c>
      <c r="P266">
        <f t="shared" ca="1" si="48"/>
        <v>263</v>
      </c>
      <c r="Q266">
        <f t="shared" ca="1" si="49"/>
        <v>549</v>
      </c>
      <c r="R266">
        <f t="shared" ca="1" si="50"/>
        <v>254</v>
      </c>
      <c r="S266">
        <f t="shared" ca="1" si="51"/>
        <v>3765</v>
      </c>
      <c r="T266">
        <f t="shared" ca="1" si="52"/>
        <v>2660</v>
      </c>
      <c r="U266">
        <f t="shared" ca="1" si="53"/>
        <v>1114</v>
      </c>
      <c r="V266">
        <v>0</v>
      </c>
      <c r="W266">
        <v>0</v>
      </c>
      <c r="X266">
        <f t="shared" ca="1" si="54"/>
        <v>-150</v>
      </c>
      <c r="Y266">
        <v>0</v>
      </c>
      <c r="Z266">
        <v>0</v>
      </c>
      <c r="AA266">
        <v>25</v>
      </c>
      <c r="AB266" t="s">
        <v>65</v>
      </c>
      <c r="AC266" t="s">
        <v>168</v>
      </c>
      <c r="AD266">
        <v>1</v>
      </c>
      <c r="AE266">
        <v>52</v>
      </c>
      <c r="AF266">
        <v>265</v>
      </c>
      <c r="AG266" t="s">
        <v>47</v>
      </c>
      <c r="AH266" t="s">
        <v>48</v>
      </c>
      <c r="AI266" t="s">
        <v>49</v>
      </c>
      <c r="AJ266" t="s">
        <v>50</v>
      </c>
      <c r="AK266" t="s">
        <v>51</v>
      </c>
      <c r="AL266">
        <v>3.6726999999999999</v>
      </c>
      <c r="AM266" t="s">
        <v>52</v>
      </c>
      <c r="AN266" t="s">
        <v>162</v>
      </c>
      <c r="AO266" t="s">
        <v>163</v>
      </c>
      <c r="AP266" t="s">
        <v>164</v>
      </c>
      <c r="AQ266" t="s">
        <v>55</v>
      </c>
    </row>
    <row r="267" spans="1:43" x14ac:dyDescent="0.3">
      <c r="A267" t="s">
        <v>43</v>
      </c>
      <c r="B267">
        <v>2020</v>
      </c>
      <c r="C267">
        <v>300</v>
      </c>
      <c r="D267">
        <v>5511</v>
      </c>
      <c r="E267">
        <v>10</v>
      </c>
      <c r="F267">
        <v>202305</v>
      </c>
      <c r="G267">
        <v>1100107</v>
      </c>
      <c r="H267" t="s">
        <v>160</v>
      </c>
      <c r="I267" t="s">
        <v>45</v>
      </c>
      <c r="J267">
        <v>7</v>
      </c>
      <c r="K267">
        <f t="shared" ca="1" si="45"/>
        <v>89</v>
      </c>
      <c r="L267">
        <f t="shared" ca="1" si="46"/>
        <v>48</v>
      </c>
      <c r="M267">
        <f t="shared" ca="1" si="47"/>
        <v>218</v>
      </c>
      <c r="N267">
        <f t="shared" ca="1" si="47"/>
        <v>11</v>
      </c>
      <c r="O267">
        <f t="shared" ca="1" si="44"/>
        <v>-24</v>
      </c>
      <c r="P267">
        <f t="shared" ca="1" si="48"/>
        <v>-142</v>
      </c>
      <c r="Q267">
        <f t="shared" ca="1" si="49"/>
        <v>225</v>
      </c>
      <c r="R267">
        <f t="shared" ca="1" si="50"/>
        <v>472</v>
      </c>
      <c r="S267">
        <f t="shared" ca="1" si="51"/>
        <v>11688</v>
      </c>
      <c r="T267">
        <f t="shared" ca="1" si="52"/>
        <v>9998</v>
      </c>
      <c r="U267">
        <f t="shared" ca="1" si="53"/>
        <v>17</v>
      </c>
      <c r="V267">
        <v>0</v>
      </c>
      <c r="W267">
        <v>0</v>
      </c>
      <c r="X267">
        <f t="shared" ca="1" si="54"/>
        <v>-178</v>
      </c>
      <c r="Y267">
        <v>0</v>
      </c>
      <c r="Z267">
        <v>0</v>
      </c>
      <c r="AA267">
        <v>83</v>
      </c>
      <c r="AB267" t="s">
        <v>65</v>
      </c>
      <c r="AC267" t="s">
        <v>169</v>
      </c>
      <c r="AD267">
        <v>1</v>
      </c>
      <c r="AE267">
        <v>52</v>
      </c>
      <c r="AF267">
        <v>265</v>
      </c>
      <c r="AG267" t="s">
        <v>47</v>
      </c>
      <c r="AH267" t="s">
        <v>48</v>
      </c>
      <c r="AI267" t="s">
        <v>49</v>
      </c>
      <c r="AJ267" t="s">
        <v>50</v>
      </c>
      <c r="AK267" t="s">
        <v>51</v>
      </c>
      <c r="AL267">
        <v>3.6726999999999999</v>
      </c>
      <c r="AM267" t="s">
        <v>52</v>
      </c>
      <c r="AN267" t="s">
        <v>162</v>
      </c>
      <c r="AO267" t="s">
        <v>163</v>
      </c>
      <c r="AP267" t="s">
        <v>164</v>
      </c>
      <c r="AQ267" t="s">
        <v>55</v>
      </c>
    </row>
    <row r="268" spans="1:43" x14ac:dyDescent="0.3">
      <c r="A268" t="s">
        <v>43</v>
      </c>
      <c r="B268">
        <v>2020</v>
      </c>
      <c r="C268">
        <v>300</v>
      </c>
      <c r="D268">
        <v>5511</v>
      </c>
      <c r="E268">
        <v>10</v>
      </c>
      <c r="F268">
        <v>202305</v>
      </c>
      <c r="G268">
        <v>1100109</v>
      </c>
      <c r="H268" t="s">
        <v>160</v>
      </c>
      <c r="I268" t="s">
        <v>45</v>
      </c>
      <c r="J268">
        <v>7</v>
      </c>
      <c r="K268">
        <f t="shared" ca="1" si="45"/>
        <v>38</v>
      </c>
      <c r="L268">
        <f t="shared" ca="1" si="46"/>
        <v>31</v>
      </c>
      <c r="M268">
        <f t="shared" ca="1" si="47"/>
        <v>223</v>
      </c>
      <c r="N268">
        <f t="shared" ca="1" si="47"/>
        <v>6</v>
      </c>
      <c r="O268">
        <f t="shared" ca="1" si="44"/>
        <v>143</v>
      </c>
      <c r="P268">
        <f t="shared" ca="1" si="48"/>
        <v>397</v>
      </c>
      <c r="Q268">
        <f t="shared" ca="1" si="49"/>
        <v>142</v>
      </c>
      <c r="R268">
        <f t="shared" ca="1" si="50"/>
        <v>-85</v>
      </c>
      <c r="S268">
        <f t="shared" ca="1" si="51"/>
        <v>10061</v>
      </c>
      <c r="T268">
        <f t="shared" ca="1" si="52"/>
        <v>6857</v>
      </c>
      <c r="U268">
        <f t="shared" ca="1" si="53"/>
        <v>1025</v>
      </c>
      <c r="V268">
        <v>0</v>
      </c>
      <c r="W268">
        <v>0</v>
      </c>
      <c r="X268">
        <f t="shared" ca="1" si="54"/>
        <v>-148</v>
      </c>
      <c r="Y268">
        <v>0</v>
      </c>
      <c r="Z268">
        <v>0</v>
      </c>
      <c r="AA268">
        <v>40</v>
      </c>
      <c r="AB268" t="s">
        <v>65</v>
      </c>
      <c r="AC268" t="s">
        <v>171</v>
      </c>
      <c r="AD268">
        <v>1</v>
      </c>
      <c r="AE268">
        <v>52</v>
      </c>
      <c r="AF268">
        <v>265</v>
      </c>
      <c r="AG268" t="s">
        <v>47</v>
      </c>
      <c r="AH268" t="s">
        <v>48</v>
      </c>
      <c r="AI268" t="s">
        <v>49</v>
      </c>
      <c r="AJ268" t="s">
        <v>50</v>
      </c>
      <c r="AK268" t="s">
        <v>51</v>
      </c>
      <c r="AL268">
        <v>3.6726999999999999</v>
      </c>
      <c r="AM268" t="s">
        <v>52</v>
      </c>
      <c r="AN268" t="s">
        <v>162</v>
      </c>
      <c r="AO268" t="s">
        <v>163</v>
      </c>
      <c r="AP268" t="s">
        <v>164</v>
      </c>
      <c r="AQ268" t="s">
        <v>55</v>
      </c>
    </row>
    <row r="269" spans="1:43" x14ac:dyDescent="0.3">
      <c r="A269" t="s">
        <v>43</v>
      </c>
      <c r="B269">
        <v>2020</v>
      </c>
      <c r="C269">
        <v>300</v>
      </c>
      <c r="D269">
        <v>5511</v>
      </c>
      <c r="E269">
        <v>10</v>
      </c>
      <c r="F269">
        <v>202305</v>
      </c>
      <c r="G269">
        <v>1100110</v>
      </c>
      <c r="H269" t="s">
        <v>160</v>
      </c>
      <c r="I269" t="s">
        <v>45</v>
      </c>
      <c r="J269">
        <v>7</v>
      </c>
      <c r="K269">
        <f t="shared" ca="1" si="45"/>
        <v>68</v>
      </c>
      <c r="L269">
        <f t="shared" ca="1" si="46"/>
        <v>-32</v>
      </c>
      <c r="M269">
        <f t="shared" ca="1" si="47"/>
        <v>148</v>
      </c>
      <c r="N269">
        <f t="shared" ca="1" si="47"/>
        <v>107</v>
      </c>
      <c r="O269">
        <f t="shared" ca="1" si="44"/>
        <v>295</v>
      </c>
      <c r="P269">
        <f t="shared" ca="1" si="48"/>
        <v>90</v>
      </c>
      <c r="Q269">
        <f t="shared" ca="1" si="49"/>
        <v>45</v>
      </c>
      <c r="R269">
        <f t="shared" ca="1" si="50"/>
        <v>398</v>
      </c>
      <c r="S269">
        <f t="shared" ca="1" si="51"/>
        <v>9325</v>
      </c>
      <c r="T269">
        <f t="shared" ca="1" si="52"/>
        <v>339</v>
      </c>
      <c r="U269">
        <f t="shared" ca="1" si="53"/>
        <v>-50</v>
      </c>
      <c r="V269">
        <v>0</v>
      </c>
      <c r="W269">
        <v>0</v>
      </c>
      <c r="X269">
        <f t="shared" ca="1" si="54"/>
        <v>-152</v>
      </c>
      <c r="Y269">
        <v>0</v>
      </c>
      <c r="Z269">
        <v>0</v>
      </c>
      <c r="AA269">
        <v>83</v>
      </c>
      <c r="AB269" t="s">
        <v>65</v>
      </c>
      <c r="AC269" t="s">
        <v>172</v>
      </c>
      <c r="AD269">
        <v>1</v>
      </c>
      <c r="AE269">
        <v>52</v>
      </c>
      <c r="AF269">
        <v>265</v>
      </c>
      <c r="AG269" t="s">
        <v>47</v>
      </c>
      <c r="AH269" t="s">
        <v>48</v>
      </c>
      <c r="AI269" t="s">
        <v>49</v>
      </c>
      <c r="AJ269" t="s">
        <v>50</v>
      </c>
      <c r="AK269" t="s">
        <v>51</v>
      </c>
      <c r="AL269">
        <v>3.6726999999999999</v>
      </c>
      <c r="AM269" t="s">
        <v>52</v>
      </c>
      <c r="AN269" t="s">
        <v>162</v>
      </c>
      <c r="AO269" t="s">
        <v>163</v>
      </c>
      <c r="AP269" t="s">
        <v>164</v>
      </c>
      <c r="AQ269" t="s">
        <v>55</v>
      </c>
    </row>
    <row r="270" spans="1:43" x14ac:dyDescent="0.3">
      <c r="A270" t="s">
        <v>43</v>
      </c>
      <c r="B270">
        <v>2020</v>
      </c>
      <c r="C270">
        <v>300</v>
      </c>
      <c r="D270">
        <v>5511</v>
      </c>
      <c r="E270">
        <v>10</v>
      </c>
      <c r="F270">
        <v>202305</v>
      </c>
      <c r="G270">
        <v>1101209</v>
      </c>
      <c r="H270" t="s">
        <v>160</v>
      </c>
      <c r="I270" t="s">
        <v>45</v>
      </c>
      <c r="J270">
        <v>7</v>
      </c>
      <c r="K270">
        <f t="shared" ca="1" si="45"/>
        <v>19</v>
      </c>
      <c r="L270">
        <f t="shared" ca="1" si="46"/>
        <v>-26</v>
      </c>
      <c r="M270">
        <f t="shared" ca="1" si="47"/>
        <v>394</v>
      </c>
      <c r="N270">
        <f t="shared" ca="1" si="47"/>
        <v>-97</v>
      </c>
      <c r="O270">
        <f t="shared" ca="1" si="44"/>
        <v>24</v>
      </c>
      <c r="P270">
        <f t="shared" ca="1" si="48"/>
        <v>456</v>
      </c>
      <c r="Q270">
        <f t="shared" ca="1" si="49"/>
        <v>163</v>
      </c>
      <c r="R270">
        <f t="shared" ca="1" si="50"/>
        <v>-6</v>
      </c>
      <c r="S270">
        <f t="shared" ca="1" si="51"/>
        <v>11273</v>
      </c>
      <c r="T270">
        <f t="shared" ca="1" si="52"/>
        <v>7407</v>
      </c>
      <c r="U270">
        <f t="shared" ca="1" si="53"/>
        <v>935</v>
      </c>
      <c r="V270">
        <v>0</v>
      </c>
      <c r="W270">
        <v>0</v>
      </c>
      <c r="X270">
        <f t="shared" ca="1" si="54"/>
        <v>-348</v>
      </c>
      <c r="Y270">
        <v>0</v>
      </c>
      <c r="Z270">
        <v>0</v>
      </c>
      <c r="AA270">
        <v>40</v>
      </c>
      <c r="AB270" t="s">
        <v>65</v>
      </c>
      <c r="AC270" t="s">
        <v>175</v>
      </c>
      <c r="AD270">
        <v>1</v>
      </c>
      <c r="AE270">
        <v>52</v>
      </c>
      <c r="AF270">
        <v>265</v>
      </c>
      <c r="AG270" t="s">
        <v>47</v>
      </c>
      <c r="AH270" t="s">
        <v>48</v>
      </c>
      <c r="AI270" t="s">
        <v>49</v>
      </c>
      <c r="AJ270" t="s">
        <v>50</v>
      </c>
      <c r="AK270" t="s">
        <v>51</v>
      </c>
      <c r="AL270">
        <v>3.6726999999999999</v>
      </c>
      <c r="AM270" t="s">
        <v>52</v>
      </c>
      <c r="AN270" t="s">
        <v>162</v>
      </c>
      <c r="AO270" t="s">
        <v>163</v>
      </c>
      <c r="AP270" t="s">
        <v>164</v>
      </c>
      <c r="AQ270" t="s">
        <v>55</v>
      </c>
    </row>
    <row r="271" spans="1:43" x14ac:dyDescent="0.3">
      <c r="A271" t="s">
        <v>43</v>
      </c>
      <c r="B271">
        <v>2020</v>
      </c>
      <c r="C271">
        <v>300</v>
      </c>
      <c r="D271">
        <v>5511</v>
      </c>
      <c r="E271">
        <v>10</v>
      </c>
      <c r="F271">
        <v>202305</v>
      </c>
      <c r="G271">
        <v>1200025</v>
      </c>
      <c r="H271" t="s">
        <v>160</v>
      </c>
      <c r="I271" t="s">
        <v>45</v>
      </c>
      <c r="J271">
        <v>7</v>
      </c>
      <c r="K271">
        <f t="shared" ca="1" si="45"/>
        <v>4</v>
      </c>
      <c r="L271">
        <f t="shared" ca="1" si="46"/>
        <v>8</v>
      </c>
      <c r="M271">
        <f t="shared" ca="1" si="47"/>
        <v>188</v>
      </c>
      <c r="N271">
        <f t="shared" ca="1" si="47"/>
        <v>189</v>
      </c>
      <c r="O271">
        <f t="shared" ca="1" si="44"/>
        <v>727</v>
      </c>
      <c r="P271">
        <f t="shared" ca="1" si="48"/>
        <v>819</v>
      </c>
      <c r="Q271">
        <f t="shared" ca="1" si="49"/>
        <v>513</v>
      </c>
      <c r="R271">
        <f t="shared" ca="1" si="50"/>
        <v>-46</v>
      </c>
      <c r="S271">
        <f t="shared" ca="1" si="51"/>
        <v>10940</v>
      </c>
      <c r="T271">
        <f t="shared" ca="1" si="52"/>
        <v>949</v>
      </c>
      <c r="U271">
        <f t="shared" ca="1" si="53"/>
        <v>715</v>
      </c>
      <c r="V271">
        <v>0</v>
      </c>
      <c r="W271">
        <v>0</v>
      </c>
      <c r="X271">
        <f t="shared" ca="1" si="54"/>
        <v>-38</v>
      </c>
      <c r="Y271">
        <v>0</v>
      </c>
      <c r="Z271">
        <v>0</v>
      </c>
      <c r="AA271">
        <v>100</v>
      </c>
      <c r="AB271" t="s">
        <v>177</v>
      </c>
      <c r="AC271" t="s">
        <v>151</v>
      </c>
      <c r="AD271">
        <v>1</v>
      </c>
      <c r="AE271">
        <v>52</v>
      </c>
      <c r="AF271">
        <v>265</v>
      </c>
      <c r="AG271" t="s">
        <v>47</v>
      </c>
      <c r="AH271" t="s">
        <v>48</v>
      </c>
      <c r="AI271" t="s">
        <v>49</v>
      </c>
      <c r="AJ271" t="s">
        <v>50</v>
      </c>
      <c r="AK271" t="s">
        <v>51</v>
      </c>
      <c r="AL271">
        <v>3.6726999999999999</v>
      </c>
      <c r="AM271" t="s">
        <v>52</v>
      </c>
      <c r="AN271" t="s">
        <v>162</v>
      </c>
      <c r="AO271" t="s">
        <v>163</v>
      </c>
      <c r="AP271" t="s">
        <v>164</v>
      </c>
      <c r="AQ271" t="s">
        <v>55</v>
      </c>
    </row>
    <row r="272" spans="1:43" x14ac:dyDescent="0.3">
      <c r="A272" t="s">
        <v>43</v>
      </c>
      <c r="B272">
        <v>2020</v>
      </c>
      <c r="C272">
        <v>300</v>
      </c>
      <c r="D272">
        <v>5511</v>
      </c>
      <c r="E272">
        <v>10</v>
      </c>
      <c r="F272">
        <v>202305</v>
      </c>
      <c r="G272">
        <v>1200111</v>
      </c>
      <c r="H272" t="s">
        <v>160</v>
      </c>
      <c r="I272" t="s">
        <v>45</v>
      </c>
      <c r="J272">
        <v>7</v>
      </c>
      <c r="K272">
        <f t="shared" ca="1" si="45"/>
        <v>69</v>
      </c>
      <c r="L272">
        <f t="shared" ca="1" si="46"/>
        <v>-20</v>
      </c>
      <c r="M272">
        <f t="shared" ca="1" si="47"/>
        <v>52</v>
      </c>
      <c r="N272">
        <f t="shared" ca="1" si="47"/>
        <v>-46</v>
      </c>
      <c r="O272">
        <f t="shared" ca="1" si="44"/>
        <v>218</v>
      </c>
      <c r="P272">
        <f t="shared" ca="1" si="48"/>
        <v>464</v>
      </c>
      <c r="Q272">
        <f t="shared" ca="1" si="49"/>
        <v>442</v>
      </c>
      <c r="R272">
        <f t="shared" ca="1" si="50"/>
        <v>314</v>
      </c>
      <c r="S272">
        <f t="shared" ca="1" si="51"/>
        <v>9227</v>
      </c>
      <c r="T272">
        <f t="shared" ca="1" si="52"/>
        <v>3355</v>
      </c>
      <c r="U272">
        <f t="shared" ca="1" si="53"/>
        <v>943</v>
      </c>
      <c r="V272">
        <v>0</v>
      </c>
      <c r="W272">
        <v>0</v>
      </c>
      <c r="X272">
        <f t="shared" ca="1" si="54"/>
        <v>-332</v>
      </c>
      <c r="Y272">
        <v>0</v>
      </c>
      <c r="Z272">
        <v>0</v>
      </c>
      <c r="AA272">
        <v>86</v>
      </c>
      <c r="AB272" t="s">
        <v>177</v>
      </c>
      <c r="AC272" t="s">
        <v>178</v>
      </c>
      <c r="AD272">
        <v>1</v>
      </c>
      <c r="AE272">
        <v>52</v>
      </c>
      <c r="AF272">
        <v>265</v>
      </c>
      <c r="AG272" t="s">
        <v>47</v>
      </c>
      <c r="AH272" t="s">
        <v>48</v>
      </c>
      <c r="AI272" t="s">
        <v>49</v>
      </c>
      <c r="AJ272" t="s">
        <v>50</v>
      </c>
      <c r="AK272" t="s">
        <v>51</v>
      </c>
      <c r="AL272">
        <v>3.6726999999999999</v>
      </c>
      <c r="AM272" t="s">
        <v>52</v>
      </c>
      <c r="AN272" t="s">
        <v>162</v>
      </c>
      <c r="AO272" t="s">
        <v>163</v>
      </c>
      <c r="AP272" t="s">
        <v>164</v>
      </c>
      <c r="AQ272" t="s">
        <v>55</v>
      </c>
    </row>
    <row r="273" spans="1:43" x14ac:dyDescent="0.3">
      <c r="A273" t="s">
        <v>43</v>
      </c>
      <c r="B273">
        <v>2020</v>
      </c>
      <c r="C273">
        <v>300</v>
      </c>
      <c r="D273">
        <v>5511</v>
      </c>
      <c r="E273">
        <v>10</v>
      </c>
      <c r="F273">
        <v>202305</v>
      </c>
      <c r="G273">
        <v>1200112</v>
      </c>
      <c r="H273" t="s">
        <v>160</v>
      </c>
      <c r="I273" t="s">
        <v>45</v>
      </c>
      <c r="J273">
        <v>7</v>
      </c>
      <c r="K273">
        <f t="shared" ca="1" si="45"/>
        <v>98</v>
      </c>
      <c r="L273">
        <f t="shared" ca="1" si="46"/>
        <v>-58</v>
      </c>
      <c r="M273">
        <f t="shared" ca="1" si="47"/>
        <v>177</v>
      </c>
      <c r="N273">
        <f t="shared" ca="1" si="47"/>
        <v>399</v>
      </c>
      <c r="O273">
        <f t="shared" ca="1" si="44"/>
        <v>139</v>
      </c>
      <c r="P273">
        <f t="shared" ca="1" si="48"/>
        <v>21</v>
      </c>
      <c r="Q273">
        <f t="shared" ca="1" si="49"/>
        <v>710</v>
      </c>
      <c r="R273">
        <f t="shared" ca="1" si="50"/>
        <v>52</v>
      </c>
      <c r="S273">
        <f t="shared" ca="1" si="51"/>
        <v>11097</v>
      </c>
      <c r="T273">
        <f t="shared" ca="1" si="52"/>
        <v>9400</v>
      </c>
      <c r="U273">
        <f t="shared" ca="1" si="53"/>
        <v>678</v>
      </c>
      <c r="V273">
        <v>0</v>
      </c>
      <c r="W273">
        <v>0</v>
      </c>
      <c r="X273">
        <f t="shared" ca="1" si="54"/>
        <v>-106</v>
      </c>
      <c r="Y273">
        <v>0</v>
      </c>
      <c r="Z273">
        <v>0</v>
      </c>
      <c r="AA273">
        <v>3</v>
      </c>
      <c r="AB273" t="s">
        <v>177</v>
      </c>
      <c r="AC273" t="s">
        <v>179</v>
      </c>
      <c r="AD273">
        <v>1</v>
      </c>
      <c r="AE273">
        <v>52</v>
      </c>
      <c r="AF273">
        <v>265</v>
      </c>
      <c r="AG273" t="s">
        <v>47</v>
      </c>
      <c r="AH273" t="s">
        <v>48</v>
      </c>
      <c r="AI273" t="s">
        <v>49</v>
      </c>
      <c r="AJ273" t="s">
        <v>50</v>
      </c>
      <c r="AK273" t="s">
        <v>51</v>
      </c>
      <c r="AL273">
        <v>3.6726999999999999</v>
      </c>
      <c r="AM273" t="s">
        <v>52</v>
      </c>
      <c r="AN273" t="s">
        <v>162</v>
      </c>
      <c r="AO273" t="s">
        <v>163</v>
      </c>
      <c r="AP273" t="s">
        <v>164</v>
      </c>
      <c r="AQ273" t="s">
        <v>55</v>
      </c>
    </row>
    <row r="274" spans="1:43" x14ac:dyDescent="0.3">
      <c r="A274" t="s">
        <v>43</v>
      </c>
      <c r="B274">
        <v>2020</v>
      </c>
      <c r="C274">
        <v>300</v>
      </c>
      <c r="D274">
        <v>5511</v>
      </c>
      <c r="E274">
        <v>10</v>
      </c>
      <c r="F274">
        <v>202305</v>
      </c>
      <c r="G274">
        <v>1200113</v>
      </c>
      <c r="H274" t="s">
        <v>160</v>
      </c>
      <c r="I274" t="s">
        <v>45</v>
      </c>
      <c r="J274">
        <v>7</v>
      </c>
      <c r="K274">
        <f t="shared" ca="1" si="45"/>
        <v>87</v>
      </c>
      <c r="L274">
        <f t="shared" ca="1" si="46"/>
        <v>98</v>
      </c>
      <c r="M274">
        <f t="shared" ca="1" si="47"/>
        <v>230</v>
      </c>
      <c r="N274">
        <f t="shared" ca="1" si="47"/>
        <v>261</v>
      </c>
      <c r="O274">
        <f t="shared" ca="1" si="44"/>
        <v>492</v>
      </c>
      <c r="P274">
        <f t="shared" ca="1" si="48"/>
        <v>-64</v>
      </c>
      <c r="Q274">
        <f t="shared" ca="1" si="49"/>
        <v>384</v>
      </c>
      <c r="R274">
        <f t="shared" ca="1" si="50"/>
        <v>214</v>
      </c>
      <c r="S274">
        <f t="shared" ca="1" si="51"/>
        <v>12143</v>
      </c>
      <c r="T274">
        <f t="shared" ca="1" si="52"/>
        <v>5442</v>
      </c>
      <c r="U274">
        <f t="shared" ca="1" si="53"/>
        <v>430</v>
      </c>
      <c r="V274">
        <v>0</v>
      </c>
      <c r="W274">
        <v>0</v>
      </c>
      <c r="X274">
        <f t="shared" ca="1" si="54"/>
        <v>-324</v>
      </c>
      <c r="Y274">
        <v>0</v>
      </c>
      <c r="Z274">
        <v>0</v>
      </c>
      <c r="AA274">
        <v>100</v>
      </c>
      <c r="AB274" t="s">
        <v>177</v>
      </c>
      <c r="AC274" t="s">
        <v>180</v>
      </c>
      <c r="AD274">
        <v>1</v>
      </c>
      <c r="AE274">
        <v>52</v>
      </c>
      <c r="AF274">
        <v>265</v>
      </c>
      <c r="AG274" t="s">
        <v>47</v>
      </c>
      <c r="AH274" t="s">
        <v>48</v>
      </c>
      <c r="AI274" t="s">
        <v>49</v>
      </c>
      <c r="AJ274" t="s">
        <v>50</v>
      </c>
      <c r="AK274" t="s">
        <v>51</v>
      </c>
      <c r="AL274">
        <v>3.6726999999999999</v>
      </c>
      <c r="AM274" t="s">
        <v>52</v>
      </c>
      <c r="AN274" t="s">
        <v>162</v>
      </c>
      <c r="AO274" t="s">
        <v>163</v>
      </c>
      <c r="AP274" t="s">
        <v>164</v>
      </c>
      <c r="AQ274" t="s">
        <v>55</v>
      </c>
    </row>
    <row r="275" spans="1:43" x14ac:dyDescent="0.3">
      <c r="A275" t="s">
        <v>43</v>
      </c>
      <c r="B275">
        <v>2020</v>
      </c>
      <c r="C275">
        <v>300</v>
      </c>
      <c r="D275">
        <v>5511</v>
      </c>
      <c r="E275">
        <v>10</v>
      </c>
      <c r="F275">
        <v>202305</v>
      </c>
      <c r="G275">
        <v>1200114</v>
      </c>
      <c r="H275" t="s">
        <v>160</v>
      </c>
      <c r="I275" t="s">
        <v>45</v>
      </c>
      <c r="J275">
        <v>7</v>
      </c>
      <c r="K275">
        <f t="shared" ca="1" si="45"/>
        <v>52</v>
      </c>
      <c r="L275">
        <f t="shared" ca="1" si="46"/>
        <v>45</v>
      </c>
      <c r="M275">
        <f t="shared" ca="1" si="47"/>
        <v>389</v>
      </c>
      <c r="N275">
        <f t="shared" ca="1" si="47"/>
        <v>161</v>
      </c>
      <c r="O275">
        <f t="shared" ca="1" si="44"/>
        <v>937</v>
      </c>
      <c r="P275">
        <f t="shared" ca="1" si="48"/>
        <v>546</v>
      </c>
      <c r="Q275">
        <f t="shared" ca="1" si="49"/>
        <v>273</v>
      </c>
      <c r="R275">
        <f t="shared" ca="1" si="50"/>
        <v>242</v>
      </c>
      <c r="S275">
        <f t="shared" ca="1" si="51"/>
        <v>9651</v>
      </c>
      <c r="T275">
        <f t="shared" ca="1" si="52"/>
        <v>540</v>
      </c>
      <c r="U275">
        <f t="shared" ca="1" si="53"/>
        <v>-49</v>
      </c>
      <c r="V275">
        <v>0</v>
      </c>
      <c r="W275">
        <v>0</v>
      </c>
      <c r="X275">
        <f t="shared" ca="1" si="54"/>
        <v>-103</v>
      </c>
      <c r="Y275">
        <v>0</v>
      </c>
      <c r="Z275">
        <v>10</v>
      </c>
      <c r="AA275">
        <v>100</v>
      </c>
      <c r="AB275" t="s">
        <v>177</v>
      </c>
      <c r="AC275" t="s">
        <v>181</v>
      </c>
      <c r="AD275">
        <v>1</v>
      </c>
      <c r="AE275">
        <v>52</v>
      </c>
      <c r="AF275">
        <v>265</v>
      </c>
      <c r="AG275" t="s">
        <v>47</v>
      </c>
      <c r="AH275" t="s">
        <v>48</v>
      </c>
      <c r="AI275" t="s">
        <v>49</v>
      </c>
      <c r="AJ275" t="s">
        <v>50</v>
      </c>
      <c r="AK275" t="s">
        <v>51</v>
      </c>
      <c r="AL275">
        <v>3.6726999999999999</v>
      </c>
      <c r="AM275" t="s">
        <v>52</v>
      </c>
      <c r="AN275" t="s">
        <v>162</v>
      </c>
      <c r="AO275" t="s">
        <v>163</v>
      </c>
      <c r="AP275" t="s">
        <v>164</v>
      </c>
      <c r="AQ275" t="s">
        <v>55</v>
      </c>
    </row>
    <row r="276" spans="1:43" x14ac:dyDescent="0.3">
      <c r="A276" t="s">
        <v>43</v>
      </c>
      <c r="B276">
        <v>2020</v>
      </c>
      <c r="C276">
        <v>300</v>
      </c>
      <c r="D276">
        <v>5511</v>
      </c>
      <c r="E276">
        <v>10</v>
      </c>
      <c r="F276">
        <v>202305</v>
      </c>
      <c r="G276">
        <v>1200115</v>
      </c>
      <c r="H276" t="s">
        <v>160</v>
      </c>
      <c r="I276" t="s">
        <v>45</v>
      </c>
      <c r="J276">
        <v>7</v>
      </c>
      <c r="K276">
        <f t="shared" ca="1" si="45"/>
        <v>81</v>
      </c>
      <c r="L276">
        <f t="shared" ca="1" si="46"/>
        <v>46</v>
      </c>
      <c r="M276">
        <f t="shared" ca="1" si="47"/>
        <v>404</v>
      </c>
      <c r="N276">
        <f t="shared" ca="1" si="47"/>
        <v>10</v>
      </c>
      <c r="O276">
        <f t="shared" ca="1" si="44"/>
        <v>470</v>
      </c>
      <c r="P276">
        <f t="shared" ca="1" si="48"/>
        <v>-80</v>
      </c>
      <c r="Q276">
        <f t="shared" ca="1" si="49"/>
        <v>271</v>
      </c>
      <c r="R276">
        <f t="shared" ca="1" si="50"/>
        <v>184</v>
      </c>
      <c r="S276">
        <f t="shared" ca="1" si="51"/>
        <v>11978</v>
      </c>
      <c r="T276">
        <f t="shared" ca="1" si="52"/>
        <v>1342</v>
      </c>
      <c r="U276">
        <f t="shared" ca="1" si="53"/>
        <v>456</v>
      </c>
      <c r="V276">
        <v>0</v>
      </c>
      <c r="W276">
        <v>0</v>
      </c>
      <c r="X276">
        <f t="shared" ca="1" si="54"/>
        <v>-469</v>
      </c>
      <c r="Y276">
        <v>0</v>
      </c>
      <c r="Z276">
        <v>0</v>
      </c>
      <c r="AA276">
        <v>97</v>
      </c>
      <c r="AB276" t="s">
        <v>177</v>
      </c>
      <c r="AC276" t="s">
        <v>182</v>
      </c>
      <c r="AD276">
        <v>1</v>
      </c>
      <c r="AE276">
        <v>52</v>
      </c>
      <c r="AF276">
        <v>265</v>
      </c>
      <c r="AG276" t="s">
        <v>47</v>
      </c>
      <c r="AH276" t="s">
        <v>48</v>
      </c>
      <c r="AI276" t="s">
        <v>49</v>
      </c>
      <c r="AJ276" t="s">
        <v>50</v>
      </c>
      <c r="AK276" t="s">
        <v>51</v>
      </c>
      <c r="AL276">
        <v>3.6726999999999999</v>
      </c>
      <c r="AM276" t="s">
        <v>52</v>
      </c>
      <c r="AN276" t="s">
        <v>162</v>
      </c>
      <c r="AO276" t="s">
        <v>163</v>
      </c>
      <c r="AP276" t="s">
        <v>164</v>
      </c>
      <c r="AQ276" t="s">
        <v>55</v>
      </c>
    </row>
    <row r="277" spans="1:43" x14ac:dyDescent="0.3">
      <c r="A277" t="s">
        <v>43</v>
      </c>
      <c r="B277">
        <v>2020</v>
      </c>
      <c r="C277">
        <v>300</v>
      </c>
      <c r="D277">
        <v>5511</v>
      </c>
      <c r="E277">
        <v>10</v>
      </c>
      <c r="F277">
        <v>202305</v>
      </c>
      <c r="G277">
        <v>1200116</v>
      </c>
      <c r="H277" t="s">
        <v>160</v>
      </c>
      <c r="I277" t="s">
        <v>45</v>
      </c>
      <c r="J277">
        <v>7</v>
      </c>
      <c r="K277">
        <f t="shared" ca="1" si="45"/>
        <v>18</v>
      </c>
      <c r="L277">
        <f t="shared" ca="1" si="46"/>
        <v>-93</v>
      </c>
      <c r="M277">
        <f t="shared" ca="1" si="47"/>
        <v>151</v>
      </c>
      <c r="N277">
        <f t="shared" ca="1" si="47"/>
        <v>61</v>
      </c>
      <c r="O277">
        <f t="shared" ca="1" si="44"/>
        <v>389</v>
      </c>
      <c r="P277">
        <f t="shared" ca="1" si="48"/>
        <v>-71</v>
      </c>
      <c r="Q277">
        <f t="shared" ca="1" si="49"/>
        <v>178</v>
      </c>
      <c r="R277">
        <f t="shared" ca="1" si="50"/>
        <v>276</v>
      </c>
      <c r="S277">
        <f t="shared" ca="1" si="51"/>
        <v>10630</v>
      </c>
      <c r="T277">
        <f t="shared" ca="1" si="52"/>
        <v>9029</v>
      </c>
      <c r="U277">
        <f t="shared" ca="1" si="53"/>
        <v>598</v>
      </c>
      <c r="V277">
        <v>0</v>
      </c>
      <c r="W277">
        <v>0</v>
      </c>
      <c r="X277">
        <f t="shared" ca="1" si="54"/>
        <v>-87</v>
      </c>
      <c r="Y277">
        <v>0</v>
      </c>
      <c r="Z277">
        <v>0</v>
      </c>
      <c r="AA277">
        <v>84</v>
      </c>
      <c r="AB277" t="s">
        <v>177</v>
      </c>
      <c r="AC277" t="s">
        <v>183</v>
      </c>
      <c r="AD277">
        <v>1</v>
      </c>
      <c r="AE277">
        <v>52</v>
      </c>
      <c r="AF277">
        <v>265</v>
      </c>
      <c r="AG277" t="s">
        <v>47</v>
      </c>
      <c r="AH277" t="s">
        <v>48</v>
      </c>
      <c r="AI277" t="s">
        <v>49</v>
      </c>
      <c r="AJ277" t="s">
        <v>50</v>
      </c>
      <c r="AK277" t="s">
        <v>51</v>
      </c>
      <c r="AL277">
        <v>3.6726999999999999</v>
      </c>
      <c r="AM277" t="s">
        <v>52</v>
      </c>
      <c r="AN277" t="s">
        <v>162</v>
      </c>
      <c r="AO277" t="s">
        <v>163</v>
      </c>
      <c r="AP277" t="s">
        <v>164</v>
      </c>
      <c r="AQ277" t="s">
        <v>55</v>
      </c>
    </row>
    <row r="278" spans="1:43" x14ac:dyDescent="0.3">
      <c r="A278" t="s">
        <v>43</v>
      </c>
      <c r="B278">
        <v>2020</v>
      </c>
      <c r="C278">
        <v>300</v>
      </c>
      <c r="D278">
        <v>5511</v>
      </c>
      <c r="E278">
        <v>10</v>
      </c>
      <c r="F278">
        <v>202305</v>
      </c>
      <c r="G278">
        <v>1200117</v>
      </c>
      <c r="H278" t="s">
        <v>160</v>
      </c>
      <c r="I278" t="s">
        <v>45</v>
      </c>
      <c r="J278">
        <v>7</v>
      </c>
      <c r="K278">
        <f t="shared" ca="1" si="45"/>
        <v>30</v>
      </c>
      <c r="L278">
        <f t="shared" ca="1" si="46"/>
        <v>47</v>
      </c>
      <c r="M278">
        <f t="shared" ca="1" si="47"/>
        <v>-46</v>
      </c>
      <c r="N278">
        <f t="shared" ca="1" si="47"/>
        <v>232</v>
      </c>
      <c r="O278">
        <f t="shared" ca="1" si="44"/>
        <v>92</v>
      </c>
      <c r="P278">
        <f t="shared" ca="1" si="48"/>
        <v>622</v>
      </c>
      <c r="Q278">
        <f t="shared" ca="1" si="49"/>
        <v>1061</v>
      </c>
      <c r="R278">
        <f t="shared" ca="1" si="50"/>
        <v>231</v>
      </c>
      <c r="S278">
        <f t="shared" ca="1" si="51"/>
        <v>5950</v>
      </c>
      <c r="T278">
        <f t="shared" ca="1" si="52"/>
        <v>7434</v>
      </c>
      <c r="U278">
        <f t="shared" ca="1" si="53"/>
        <v>204</v>
      </c>
      <c r="V278">
        <v>0</v>
      </c>
      <c r="W278">
        <v>0</v>
      </c>
      <c r="X278">
        <f t="shared" ca="1" si="54"/>
        <v>-215</v>
      </c>
      <c r="Y278">
        <v>0</v>
      </c>
      <c r="Z278">
        <v>208</v>
      </c>
      <c r="AA278">
        <v>100</v>
      </c>
      <c r="AB278" t="s">
        <v>177</v>
      </c>
      <c r="AC278" t="s">
        <v>184</v>
      </c>
      <c r="AD278">
        <v>1</v>
      </c>
      <c r="AE278">
        <v>52</v>
      </c>
      <c r="AF278">
        <v>265</v>
      </c>
      <c r="AG278" t="s">
        <v>47</v>
      </c>
      <c r="AH278" t="s">
        <v>48</v>
      </c>
      <c r="AI278" t="s">
        <v>49</v>
      </c>
      <c r="AJ278" t="s">
        <v>50</v>
      </c>
      <c r="AK278" t="s">
        <v>51</v>
      </c>
      <c r="AL278">
        <v>3.6726999999999999</v>
      </c>
      <c r="AM278" t="s">
        <v>52</v>
      </c>
      <c r="AN278" t="s">
        <v>162</v>
      </c>
      <c r="AO278" t="s">
        <v>163</v>
      </c>
      <c r="AP278" t="s">
        <v>164</v>
      </c>
      <c r="AQ278" t="s">
        <v>55</v>
      </c>
    </row>
    <row r="279" spans="1:43" x14ac:dyDescent="0.3">
      <c r="A279" t="s">
        <v>43</v>
      </c>
      <c r="B279">
        <v>2020</v>
      </c>
      <c r="C279">
        <v>300</v>
      </c>
      <c r="D279">
        <v>5511</v>
      </c>
      <c r="E279">
        <v>10</v>
      </c>
      <c r="F279">
        <v>202305</v>
      </c>
      <c r="G279">
        <v>1200118</v>
      </c>
      <c r="H279" t="s">
        <v>160</v>
      </c>
      <c r="I279" t="s">
        <v>45</v>
      </c>
      <c r="J279">
        <v>7</v>
      </c>
      <c r="K279">
        <f t="shared" ca="1" si="45"/>
        <v>76</v>
      </c>
      <c r="L279">
        <f t="shared" ca="1" si="46"/>
        <v>-21</v>
      </c>
      <c r="M279">
        <f t="shared" ca="1" si="47"/>
        <v>32</v>
      </c>
      <c r="N279">
        <f t="shared" ca="1" si="47"/>
        <v>17</v>
      </c>
      <c r="O279">
        <f t="shared" ca="1" si="44"/>
        <v>-40</v>
      </c>
      <c r="P279">
        <f t="shared" ca="1" si="48"/>
        <v>110</v>
      </c>
      <c r="Q279">
        <f t="shared" ca="1" si="49"/>
        <v>4</v>
      </c>
      <c r="R279">
        <f t="shared" ca="1" si="50"/>
        <v>435</v>
      </c>
      <c r="S279">
        <f t="shared" ca="1" si="51"/>
        <v>973</v>
      </c>
      <c r="T279">
        <f t="shared" ca="1" si="52"/>
        <v>6358</v>
      </c>
      <c r="U279">
        <f t="shared" ca="1" si="53"/>
        <v>796</v>
      </c>
      <c r="V279">
        <v>0</v>
      </c>
      <c r="W279">
        <v>0</v>
      </c>
      <c r="X279">
        <f t="shared" ca="1" si="54"/>
        <v>-275</v>
      </c>
      <c r="Y279">
        <v>0</v>
      </c>
      <c r="Z279">
        <v>3</v>
      </c>
      <c r="AA279">
        <v>100</v>
      </c>
      <c r="AB279" t="s">
        <v>177</v>
      </c>
      <c r="AC279" t="s">
        <v>221</v>
      </c>
      <c r="AD279">
        <v>1</v>
      </c>
      <c r="AE279">
        <v>52</v>
      </c>
      <c r="AF279">
        <v>265</v>
      </c>
      <c r="AG279" t="s">
        <v>47</v>
      </c>
      <c r="AH279" t="s">
        <v>48</v>
      </c>
      <c r="AI279" t="s">
        <v>49</v>
      </c>
      <c r="AJ279" t="s">
        <v>50</v>
      </c>
      <c r="AK279" t="s">
        <v>51</v>
      </c>
      <c r="AL279">
        <v>3.6726999999999999</v>
      </c>
      <c r="AM279" t="s">
        <v>52</v>
      </c>
      <c r="AN279" t="s">
        <v>162</v>
      </c>
      <c r="AO279" t="s">
        <v>163</v>
      </c>
      <c r="AP279" t="s">
        <v>164</v>
      </c>
      <c r="AQ279" t="s">
        <v>55</v>
      </c>
    </row>
    <row r="280" spans="1:43" x14ac:dyDescent="0.3">
      <c r="A280" t="s">
        <v>43</v>
      </c>
      <c r="B280">
        <v>2020</v>
      </c>
      <c r="C280">
        <v>300</v>
      </c>
      <c r="D280">
        <v>5511</v>
      </c>
      <c r="E280">
        <v>10</v>
      </c>
      <c r="F280">
        <v>202305</v>
      </c>
      <c r="G280">
        <v>1200123</v>
      </c>
      <c r="H280" t="s">
        <v>160</v>
      </c>
      <c r="I280" t="s">
        <v>45</v>
      </c>
      <c r="J280">
        <v>7</v>
      </c>
      <c r="K280">
        <f t="shared" ca="1" si="45"/>
        <v>34</v>
      </c>
      <c r="L280">
        <f t="shared" ca="1" si="46"/>
        <v>37</v>
      </c>
      <c r="M280">
        <f t="shared" ca="1" si="47"/>
        <v>319</v>
      </c>
      <c r="N280">
        <f t="shared" ca="1" si="47"/>
        <v>420</v>
      </c>
      <c r="O280">
        <f t="shared" ca="1" si="44"/>
        <v>7</v>
      </c>
      <c r="P280">
        <f t="shared" ca="1" si="48"/>
        <v>-336</v>
      </c>
      <c r="Q280">
        <f t="shared" ca="1" si="49"/>
        <v>687</v>
      </c>
      <c r="R280">
        <f t="shared" ca="1" si="50"/>
        <v>226</v>
      </c>
      <c r="S280">
        <f t="shared" ca="1" si="51"/>
        <v>9544</v>
      </c>
      <c r="T280">
        <f t="shared" ca="1" si="52"/>
        <v>9480</v>
      </c>
      <c r="U280">
        <f t="shared" ca="1" si="53"/>
        <v>4</v>
      </c>
      <c r="V280">
        <v>0</v>
      </c>
      <c r="W280">
        <v>0</v>
      </c>
      <c r="X280">
        <f t="shared" ca="1" si="54"/>
        <v>-455</v>
      </c>
      <c r="Y280">
        <v>0</v>
      </c>
      <c r="Z280">
        <v>158</v>
      </c>
      <c r="AA280">
        <v>100</v>
      </c>
      <c r="AB280" t="s">
        <v>177</v>
      </c>
      <c r="AC280" t="s">
        <v>185</v>
      </c>
      <c r="AD280">
        <v>1</v>
      </c>
      <c r="AE280">
        <v>52</v>
      </c>
      <c r="AF280">
        <v>265</v>
      </c>
      <c r="AG280" t="s">
        <v>47</v>
      </c>
      <c r="AH280" t="s">
        <v>48</v>
      </c>
      <c r="AI280" t="s">
        <v>49</v>
      </c>
      <c r="AJ280" t="s">
        <v>50</v>
      </c>
      <c r="AK280" t="s">
        <v>51</v>
      </c>
      <c r="AL280">
        <v>3.6726999999999999</v>
      </c>
      <c r="AM280" t="s">
        <v>52</v>
      </c>
      <c r="AN280" t="s">
        <v>162</v>
      </c>
      <c r="AO280" t="s">
        <v>163</v>
      </c>
      <c r="AP280" t="s">
        <v>164</v>
      </c>
      <c r="AQ280" t="s">
        <v>55</v>
      </c>
    </row>
    <row r="281" spans="1:43" x14ac:dyDescent="0.3">
      <c r="A281" t="s">
        <v>43</v>
      </c>
      <c r="B281">
        <v>2020</v>
      </c>
      <c r="C281">
        <v>300</v>
      </c>
      <c r="D281">
        <v>5511</v>
      </c>
      <c r="E281">
        <v>10</v>
      </c>
      <c r="F281">
        <v>202305</v>
      </c>
      <c r="G281">
        <v>1300121</v>
      </c>
      <c r="H281" t="s">
        <v>160</v>
      </c>
      <c r="I281" t="s">
        <v>45</v>
      </c>
      <c r="J281">
        <v>7</v>
      </c>
      <c r="K281">
        <f t="shared" ca="1" si="45"/>
        <v>25</v>
      </c>
      <c r="L281">
        <f t="shared" ca="1" si="46"/>
        <v>-23</v>
      </c>
      <c r="M281">
        <f t="shared" ca="1" si="47"/>
        <v>-38</v>
      </c>
      <c r="N281">
        <f t="shared" ca="1" si="47"/>
        <v>485</v>
      </c>
      <c r="O281">
        <f t="shared" ca="1" si="44"/>
        <v>289</v>
      </c>
      <c r="P281">
        <f t="shared" ca="1" si="48"/>
        <v>-429</v>
      </c>
      <c r="Q281">
        <f t="shared" ca="1" si="49"/>
        <v>1109</v>
      </c>
      <c r="R281">
        <f t="shared" ca="1" si="50"/>
        <v>1</v>
      </c>
      <c r="S281">
        <f t="shared" ca="1" si="51"/>
        <v>12523</v>
      </c>
      <c r="T281">
        <f t="shared" ca="1" si="52"/>
        <v>8059</v>
      </c>
      <c r="U281">
        <f t="shared" ca="1" si="53"/>
        <v>167</v>
      </c>
      <c r="V281">
        <v>0</v>
      </c>
      <c r="W281">
        <v>0</v>
      </c>
      <c r="X281">
        <f t="shared" ca="1" si="54"/>
        <v>-233</v>
      </c>
      <c r="Y281">
        <v>0</v>
      </c>
      <c r="Z281">
        <v>0</v>
      </c>
      <c r="AA281">
        <v>0</v>
      </c>
      <c r="AB281" t="s">
        <v>187</v>
      </c>
      <c r="AC281" t="s">
        <v>188</v>
      </c>
      <c r="AD281">
        <v>1</v>
      </c>
      <c r="AE281">
        <v>52</v>
      </c>
      <c r="AF281">
        <v>265</v>
      </c>
      <c r="AG281" t="s">
        <v>47</v>
      </c>
      <c r="AH281" t="s">
        <v>48</v>
      </c>
      <c r="AI281" t="s">
        <v>49</v>
      </c>
      <c r="AJ281" t="s">
        <v>50</v>
      </c>
      <c r="AK281" t="s">
        <v>51</v>
      </c>
      <c r="AL281">
        <v>3.6726999999999999</v>
      </c>
      <c r="AM281" t="s">
        <v>52</v>
      </c>
      <c r="AN281" t="s">
        <v>162</v>
      </c>
      <c r="AO281" t="s">
        <v>163</v>
      </c>
      <c r="AP281" t="s">
        <v>164</v>
      </c>
      <c r="AQ281" t="s">
        <v>55</v>
      </c>
    </row>
    <row r="282" spans="1:43" x14ac:dyDescent="0.3">
      <c r="A282" t="s">
        <v>43</v>
      </c>
      <c r="B282">
        <v>2020</v>
      </c>
      <c r="C282">
        <v>300</v>
      </c>
      <c r="D282">
        <v>5511</v>
      </c>
      <c r="E282">
        <v>10</v>
      </c>
      <c r="F282">
        <v>202305</v>
      </c>
      <c r="G282">
        <v>1300122</v>
      </c>
      <c r="H282" t="s">
        <v>160</v>
      </c>
      <c r="I282" t="s">
        <v>45</v>
      </c>
      <c r="J282">
        <v>7</v>
      </c>
      <c r="K282">
        <f t="shared" ca="1" si="45"/>
        <v>75</v>
      </c>
      <c r="L282">
        <f t="shared" ca="1" si="46"/>
        <v>54</v>
      </c>
      <c r="M282">
        <f t="shared" ca="1" si="47"/>
        <v>167</v>
      </c>
      <c r="N282">
        <f t="shared" ca="1" si="47"/>
        <v>214</v>
      </c>
      <c r="O282">
        <f t="shared" ca="1" si="44"/>
        <v>70</v>
      </c>
      <c r="P282">
        <f t="shared" ca="1" si="48"/>
        <v>1439</v>
      </c>
      <c r="Q282">
        <f t="shared" ca="1" si="49"/>
        <v>179</v>
      </c>
      <c r="R282">
        <f t="shared" ca="1" si="50"/>
        <v>-47</v>
      </c>
      <c r="S282">
        <f t="shared" ca="1" si="51"/>
        <v>4394</v>
      </c>
      <c r="T282">
        <f t="shared" ca="1" si="52"/>
        <v>3025</v>
      </c>
      <c r="U282">
        <f t="shared" ca="1" si="53"/>
        <v>-53</v>
      </c>
      <c r="V282">
        <v>0</v>
      </c>
      <c r="W282">
        <v>0</v>
      </c>
      <c r="X282">
        <f t="shared" ca="1" si="54"/>
        <v>-238</v>
      </c>
      <c r="Y282">
        <v>0</v>
      </c>
      <c r="Z282">
        <v>0</v>
      </c>
      <c r="AA282">
        <v>100</v>
      </c>
      <c r="AB282" t="s">
        <v>187</v>
      </c>
      <c r="AC282" t="s">
        <v>189</v>
      </c>
      <c r="AD282">
        <v>1</v>
      </c>
      <c r="AE282">
        <v>52</v>
      </c>
      <c r="AF282">
        <v>265</v>
      </c>
      <c r="AG282" t="s">
        <v>47</v>
      </c>
      <c r="AH282" t="s">
        <v>48</v>
      </c>
      <c r="AI282" t="s">
        <v>49</v>
      </c>
      <c r="AJ282" t="s">
        <v>50</v>
      </c>
      <c r="AK282" t="s">
        <v>51</v>
      </c>
      <c r="AL282">
        <v>3.6726999999999999</v>
      </c>
      <c r="AM282" t="s">
        <v>52</v>
      </c>
      <c r="AN282" t="s">
        <v>162</v>
      </c>
      <c r="AO282" t="s">
        <v>163</v>
      </c>
      <c r="AP282" t="s">
        <v>164</v>
      </c>
      <c r="AQ282" t="s">
        <v>55</v>
      </c>
    </row>
    <row r="283" spans="1:43" x14ac:dyDescent="0.3">
      <c r="A283" t="s">
        <v>43</v>
      </c>
      <c r="B283">
        <v>2020</v>
      </c>
      <c r="C283">
        <v>300</v>
      </c>
      <c r="D283">
        <v>5511</v>
      </c>
      <c r="E283">
        <v>10</v>
      </c>
      <c r="F283">
        <v>202305</v>
      </c>
      <c r="G283">
        <v>1400131</v>
      </c>
      <c r="H283" t="s">
        <v>160</v>
      </c>
      <c r="I283" t="s">
        <v>45</v>
      </c>
      <c r="J283">
        <v>7</v>
      </c>
      <c r="K283">
        <f t="shared" ca="1" si="45"/>
        <v>55</v>
      </c>
      <c r="L283">
        <f t="shared" ca="1" si="46"/>
        <v>87</v>
      </c>
      <c r="M283">
        <f t="shared" ca="1" si="47"/>
        <v>435</v>
      </c>
      <c r="N283">
        <f t="shared" ca="1" si="47"/>
        <v>252</v>
      </c>
      <c r="O283">
        <f t="shared" ca="1" si="44"/>
        <v>480</v>
      </c>
      <c r="P283">
        <f t="shared" ca="1" si="48"/>
        <v>506</v>
      </c>
      <c r="Q283">
        <f t="shared" ca="1" si="49"/>
        <v>763</v>
      </c>
      <c r="R283">
        <f t="shared" ca="1" si="50"/>
        <v>239</v>
      </c>
      <c r="S283">
        <f t="shared" ca="1" si="51"/>
        <v>13156</v>
      </c>
      <c r="T283">
        <f t="shared" ca="1" si="52"/>
        <v>6723</v>
      </c>
      <c r="U283">
        <f t="shared" ca="1" si="53"/>
        <v>894</v>
      </c>
      <c r="V283">
        <v>0</v>
      </c>
      <c r="W283">
        <v>0</v>
      </c>
      <c r="X283">
        <f t="shared" ca="1" si="54"/>
        <v>-452</v>
      </c>
      <c r="Y283">
        <v>0</v>
      </c>
      <c r="Z283">
        <v>0</v>
      </c>
      <c r="AA283">
        <v>81</v>
      </c>
      <c r="AB283" t="s">
        <v>190</v>
      </c>
      <c r="AC283" t="s">
        <v>192</v>
      </c>
      <c r="AD283">
        <v>1</v>
      </c>
      <c r="AE283">
        <v>52</v>
      </c>
      <c r="AF283">
        <v>265</v>
      </c>
      <c r="AG283" t="s">
        <v>47</v>
      </c>
      <c r="AH283" t="s">
        <v>48</v>
      </c>
      <c r="AI283" t="s">
        <v>49</v>
      </c>
      <c r="AJ283" t="s">
        <v>50</v>
      </c>
      <c r="AK283" t="s">
        <v>51</v>
      </c>
      <c r="AL283">
        <v>3.6726999999999999</v>
      </c>
      <c r="AM283" t="s">
        <v>52</v>
      </c>
      <c r="AN283" t="s">
        <v>162</v>
      </c>
      <c r="AO283" t="s">
        <v>163</v>
      </c>
      <c r="AP283" t="s">
        <v>164</v>
      </c>
      <c r="AQ283" t="s">
        <v>55</v>
      </c>
    </row>
    <row r="284" spans="1:43" x14ac:dyDescent="0.3">
      <c r="A284" t="s">
        <v>43</v>
      </c>
      <c r="B284">
        <v>2020</v>
      </c>
      <c r="C284">
        <v>300</v>
      </c>
      <c r="D284">
        <v>5511</v>
      </c>
      <c r="E284">
        <v>10</v>
      </c>
      <c r="F284">
        <v>202305</v>
      </c>
      <c r="G284">
        <v>1400133</v>
      </c>
      <c r="H284" t="s">
        <v>160</v>
      </c>
      <c r="I284" t="s">
        <v>45</v>
      </c>
      <c r="J284">
        <v>7</v>
      </c>
      <c r="K284">
        <f t="shared" ca="1" si="45"/>
        <v>8</v>
      </c>
      <c r="L284">
        <f t="shared" ca="1" si="46"/>
        <v>57</v>
      </c>
      <c r="M284">
        <f t="shared" ca="1" si="47"/>
        <v>264</v>
      </c>
      <c r="N284">
        <f t="shared" ca="1" si="47"/>
        <v>51</v>
      </c>
      <c r="O284">
        <f t="shared" ca="1" si="44"/>
        <v>805</v>
      </c>
      <c r="P284">
        <f t="shared" ca="1" si="48"/>
        <v>245</v>
      </c>
      <c r="Q284">
        <f t="shared" ca="1" si="49"/>
        <v>1033</v>
      </c>
      <c r="R284">
        <f t="shared" ca="1" si="50"/>
        <v>162</v>
      </c>
      <c r="S284">
        <f t="shared" ca="1" si="51"/>
        <v>8776</v>
      </c>
      <c r="T284">
        <f t="shared" ca="1" si="52"/>
        <v>755</v>
      </c>
      <c r="U284">
        <f t="shared" ca="1" si="53"/>
        <v>557</v>
      </c>
      <c r="V284">
        <v>0</v>
      </c>
      <c r="W284">
        <v>0</v>
      </c>
      <c r="X284">
        <f t="shared" ca="1" si="54"/>
        <v>-1</v>
      </c>
      <c r="Y284">
        <v>0</v>
      </c>
      <c r="Z284">
        <v>-523</v>
      </c>
      <c r="AA284">
        <v>71</v>
      </c>
      <c r="AB284" t="s">
        <v>190</v>
      </c>
      <c r="AC284" t="s">
        <v>194</v>
      </c>
      <c r="AD284">
        <v>1</v>
      </c>
      <c r="AE284">
        <v>52</v>
      </c>
      <c r="AF284">
        <v>265</v>
      </c>
      <c r="AG284" t="s">
        <v>47</v>
      </c>
      <c r="AH284" t="s">
        <v>48</v>
      </c>
      <c r="AI284" t="s">
        <v>49</v>
      </c>
      <c r="AJ284" t="s">
        <v>50</v>
      </c>
      <c r="AK284" t="s">
        <v>51</v>
      </c>
      <c r="AL284">
        <v>3.6726999999999999</v>
      </c>
      <c r="AM284" t="s">
        <v>52</v>
      </c>
      <c r="AN284" t="s">
        <v>162</v>
      </c>
      <c r="AO284" t="s">
        <v>163</v>
      </c>
      <c r="AP284" t="s">
        <v>164</v>
      </c>
      <c r="AQ284" t="s">
        <v>55</v>
      </c>
    </row>
    <row r="285" spans="1:43" x14ac:dyDescent="0.3">
      <c r="A285" t="s">
        <v>43</v>
      </c>
      <c r="B285">
        <v>2020</v>
      </c>
      <c r="C285">
        <v>300</v>
      </c>
      <c r="D285">
        <v>5511</v>
      </c>
      <c r="E285">
        <v>10</v>
      </c>
      <c r="F285">
        <v>202305</v>
      </c>
      <c r="G285">
        <v>1400134</v>
      </c>
      <c r="H285" t="s">
        <v>160</v>
      </c>
      <c r="I285" t="s">
        <v>45</v>
      </c>
      <c r="J285">
        <v>7</v>
      </c>
      <c r="K285">
        <f t="shared" ca="1" si="45"/>
        <v>47</v>
      </c>
      <c r="L285">
        <f t="shared" ca="1" si="46"/>
        <v>9</v>
      </c>
      <c r="M285">
        <f t="shared" ca="1" si="47"/>
        <v>435</v>
      </c>
      <c r="N285">
        <f t="shared" ca="1" si="47"/>
        <v>25</v>
      </c>
      <c r="O285">
        <f t="shared" ca="1" si="44"/>
        <v>-54</v>
      </c>
      <c r="P285">
        <f t="shared" ca="1" si="48"/>
        <v>974</v>
      </c>
      <c r="Q285">
        <f t="shared" ca="1" si="49"/>
        <v>59</v>
      </c>
      <c r="R285">
        <f t="shared" ca="1" si="50"/>
        <v>144</v>
      </c>
      <c r="S285">
        <f t="shared" ca="1" si="51"/>
        <v>8986</v>
      </c>
      <c r="T285">
        <f t="shared" ca="1" si="52"/>
        <v>2012</v>
      </c>
      <c r="U285">
        <f t="shared" ca="1" si="53"/>
        <v>724</v>
      </c>
      <c r="V285">
        <v>0</v>
      </c>
      <c r="W285">
        <v>0</v>
      </c>
      <c r="X285">
        <f t="shared" ca="1" si="54"/>
        <v>-205</v>
      </c>
      <c r="Y285">
        <v>0</v>
      </c>
      <c r="Z285">
        <v>0</v>
      </c>
      <c r="AA285">
        <v>100</v>
      </c>
      <c r="AB285" t="s">
        <v>190</v>
      </c>
      <c r="AC285" t="s">
        <v>222</v>
      </c>
      <c r="AD285">
        <v>1</v>
      </c>
      <c r="AE285">
        <v>52</v>
      </c>
      <c r="AF285">
        <v>265</v>
      </c>
      <c r="AG285" t="s">
        <v>47</v>
      </c>
      <c r="AH285" t="s">
        <v>48</v>
      </c>
      <c r="AI285" t="s">
        <v>49</v>
      </c>
      <c r="AJ285" t="s">
        <v>50</v>
      </c>
      <c r="AK285" t="s">
        <v>51</v>
      </c>
      <c r="AL285">
        <v>3.6726999999999999</v>
      </c>
      <c r="AM285" t="s">
        <v>52</v>
      </c>
      <c r="AN285" t="s">
        <v>162</v>
      </c>
      <c r="AO285" t="s">
        <v>163</v>
      </c>
      <c r="AP285" t="s">
        <v>164</v>
      </c>
      <c r="AQ285" t="s">
        <v>55</v>
      </c>
    </row>
    <row r="286" spans="1:43" x14ac:dyDescent="0.3">
      <c r="A286" t="s">
        <v>43</v>
      </c>
      <c r="B286">
        <v>2020</v>
      </c>
      <c r="C286">
        <v>300</v>
      </c>
      <c r="D286">
        <v>5511</v>
      </c>
      <c r="E286">
        <v>10</v>
      </c>
      <c r="F286">
        <v>202305</v>
      </c>
      <c r="G286">
        <v>1400136</v>
      </c>
      <c r="H286" t="s">
        <v>160</v>
      </c>
      <c r="I286" t="s">
        <v>45</v>
      </c>
      <c r="J286">
        <v>7</v>
      </c>
      <c r="K286">
        <f t="shared" ca="1" si="45"/>
        <v>9</v>
      </c>
      <c r="L286">
        <f t="shared" ca="1" si="46"/>
        <v>-73</v>
      </c>
      <c r="M286">
        <f t="shared" ca="1" si="47"/>
        <v>204</v>
      </c>
      <c r="N286">
        <f t="shared" ca="1" si="47"/>
        <v>34</v>
      </c>
      <c r="O286">
        <f t="shared" ca="1" si="44"/>
        <v>-9</v>
      </c>
      <c r="P286">
        <f t="shared" ca="1" si="48"/>
        <v>-323</v>
      </c>
      <c r="Q286">
        <f t="shared" ca="1" si="49"/>
        <v>274</v>
      </c>
      <c r="R286">
        <f t="shared" ca="1" si="50"/>
        <v>-69</v>
      </c>
      <c r="S286">
        <f t="shared" ca="1" si="51"/>
        <v>14262</v>
      </c>
      <c r="T286">
        <f t="shared" ca="1" si="52"/>
        <v>5421</v>
      </c>
      <c r="U286">
        <f t="shared" ca="1" si="53"/>
        <v>259</v>
      </c>
      <c r="V286">
        <v>0</v>
      </c>
      <c r="W286">
        <v>0</v>
      </c>
      <c r="X286">
        <f t="shared" ca="1" si="54"/>
        <v>-189</v>
      </c>
      <c r="Y286">
        <v>0</v>
      </c>
      <c r="Z286">
        <v>0</v>
      </c>
      <c r="AA286">
        <v>100</v>
      </c>
      <c r="AB286" t="s">
        <v>190</v>
      </c>
      <c r="AC286" t="s">
        <v>223</v>
      </c>
      <c r="AD286">
        <v>1</v>
      </c>
      <c r="AE286">
        <v>52</v>
      </c>
      <c r="AF286">
        <v>265</v>
      </c>
      <c r="AG286" t="s">
        <v>47</v>
      </c>
      <c r="AH286" t="s">
        <v>48</v>
      </c>
      <c r="AI286" t="s">
        <v>49</v>
      </c>
      <c r="AJ286" t="s">
        <v>50</v>
      </c>
      <c r="AK286" t="s">
        <v>51</v>
      </c>
      <c r="AL286">
        <v>3.6726999999999999</v>
      </c>
      <c r="AM286" t="s">
        <v>52</v>
      </c>
      <c r="AN286" t="s">
        <v>162</v>
      </c>
      <c r="AO286" t="s">
        <v>163</v>
      </c>
      <c r="AP286" t="s">
        <v>164</v>
      </c>
      <c r="AQ286" t="s">
        <v>55</v>
      </c>
    </row>
    <row r="287" spans="1:43" x14ac:dyDescent="0.3">
      <c r="A287" t="s">
        <v>43</v>
      </c>
      <c r="B287">
        <v>2020</v>
      </c>
      <c r="C287">
        <v>300</v>
      </c>
      <c r="D287">
        <v>5511</v>
      </c>
      <c r="E287">
        <v>10</v>
      </c>
      <c r="F287">
        <v>202305</v>
      </c>
      <c r="G287">
        <v>1500142</v>
      </c>
      <c r="H287" t="s">
        <v>160</v>
      </c>
      <c r="I287" t="s">
        <v>45</v>
      </c>
      <c r="J287">
        <v>7</v>
      </c>
      <c r="K287">
        <f t="shared" ca="1" si="45"/>
        <v>32</v>
      </c>
      <c r="L287">
        <f t="shared" ca="1" si="46"/>
        <v>46</v>
      </c>
      <c r="M287">
        <f t="shared" ca="1" si="47"/>
        <v>446</v>
      </c>
      <c r="N287">
        <f t="shared" ca="1" si="47"/>
        <v>404</v>
      </c>
      <c r="O287">
        <f t="shared" ca="1" si="44"/>
        <v>288</v>
      </c>
      <c r="P287">
        <f t="shared" ca="1" si="48"/>
        <v>-238</v>
      </c>
      <c r="Q287">
        <f t="shared" ca="1" si="49"/>
        <v>550</v>
      </c>
      <c r="R287">
        <f t="shared" ca="1" si="50"/>
        <v>25</v>
      </c>
      <c r="S287">
        <f t="shared" ca="1" si="51"/>
        <v>876</v>
      </c>
      <c r="T287">
        <f t="shared" ca="1" si="52"/>
        <v>5744</v>
      </c>
      <c r="U287">
        <f t="shared" ca="1" si="53"/>
        <v>722</v>
      </c>
      <c r="V287">
        <v>0</v>
      </c>
      <c r="W287">
        <v>0</v>
      </c>
      <c r="X287">
        <f t="shared" ca="1" si="54"/>
        <v>-11</v>
      </c>
      <c r="Y287">
        <v>0</v>
      </c>
      <c r="Z287">
        <v>0</v>
      </c>
      <c r="AA287">
        <v>0</v>
      </c>
      <c r="AB287" t="s">
        <v>195</v>
      </c>
      <c r="AC287" t="s">
        <v>197</v>
      </c>
      <c r="AD287">
        <v>1</v>
      </c>
      <c r="AE287">
        <v>52</v>
      </c>
      <c r="AF287">
        <v>265</v>
      </c>
      <c r="AG287" t="s">
        <v>47</v>
      </c>
      <c r="AH287" t="s">
        <v>48</v>
      </c>
      <c r="AI287" t="s">
        <v>49</v>
      </c>
      <c r="AJ287" t="s">
        <v>50</v>
      </c>
      <c r="AK287" t="s">
        <v>51</v>
      </c>
      <c r="AL287">
        <v>3.6726999999999999</v>
      </c>
      <c r="AM287" t="s">
        <v>52</v>
      </c>
      <c r="AN287" t="s">
        <v>162</v>
      </c>
      <c r="AO287" t="s">
        <v>163</v>
      </c>
      <c r="AP287" t="s">
        <v>164</v>
      </c>
      <c r="AQ287" t="s">
        <v>55</v>
      </c>
    </row>
    <row r="288" spans="1:43" x14ac:dyDescent="0.3">
      <c r="A288" t="s">
        <v>43</v>
      </c>
      <c r="B288">
        <v>2020</v>
      </c>
      <c r="C288">
        <v>300</v>
      </c>
      <c r="D288">
        <v>5511</v>
      </c>
      <c r="E288">
        <v>10</v>
      </c>
      <c r="F288">
        <v>202305</v>
      </c>
      <c r="G288">
        <v>1600005</v>
      </c>
      <c r="H288" t="s">
        <v>160</v>
      </c>
      <c r="I288" t="s">
        <v>45</v>
      </c>
      <c r="J288">
        <v>7</v>
      </c>
      <c r="K288">
        <f t="shared" ca="1" si="45"/>
        <v>60</v>
      </c>
      <c r="L288">
        <f t="shared" ca="1" si="46"/>
        <v>-16</v>
      </c>
      <c r="M288">
        <f t="shared" ca="1" si="47"/>
        <v>39</v>
      </c>
      <c r="N288">
        <f t="shared" ca="1" si="47"/>
        <v>366</v>
      </c>
      <c r="O288">
        <f t="shared" ca="1" si="44"/>
        <v>99</v>
      </c>
      <c r="P288">
        <f t="shared" ca="1" si="48"/>
        <v>1145</v>
      </c>
      <c r="Q288">
        <f t="shared" ca="1" si="49"/>
        <v>30</v>
      </c>
      <c r="R288">
        <f t="shared" ca="1" si="50"/>
        <v>11</v>
      </c>
      <c r="S288">
        <f t="shared" ca="1" si="51"/>
        <v>9743</v>
      </c>
      <c r="T288">
        <f t="shared" ca="1" si="52"/>
        <v>2945</v>
      </c>
      <c r="U288">
        <f t="shared" ca="1" si="53"/>
        <v>1257</v>
      </c>
      <c r="V288">
        <v>0</v>
      </c>
      <c r="W288">
        <v>0</v>
      </c>
      <c r="X288">
        <f t="shared" ca="1" si="54"/>
        <v>-7</v>
      </c>
      <c r="Y288">
        <v>0</v>
      </c>
      <c r="Z288">
        <v>0</v>
      </c>
      <c r="AA288">
        <v>0</v>
      </c>
      <c r="AB288" t="s">
        <v>199</v>
      </c>
      <c r="AC288" t="s">
        <v>224</v>
      </c>
      <c r="AD288">
        <v>1</v>
      </c>
      <c r="AE288">
        <v>52</v>
      </c>
      <c r="AF288">
        <v>265</v>
      </c>
      <c r="AG288" t="s">
        <v>47</v>
      </c>
      <c r="AH288" t="s">
        <v>48</v>
      </c>
      <c r="AI288" t="s">
        <v>49</v>
      </c>
      <c r="AJ288" t="s">
        <v>50</v>
      </c>
      <c r="AK288" t="s">
        <v>51</v>
      </c>
      <c r="AL288">
        <v>3.6726999999999999</v>
      </c>
      <c r="AM288" t="s">
        <v>52</v>
      </c>
      <c r="AN288" t="s">
        <v>162</v>
      </c>
      <c r="AO288" t="s">
        <v>163</v>
      </c>
      <c r="AP288" t="s">
        <v>164</v>
      </c>
      <c r="AQ288" t="s">
        <v>55</v>
      </c>
    </row>
    <row r="289" spans="1:43" x14ac:dyDescent="0.3">
      <c r="A289" t="s">
        <v>43</v>
      </c>
      <c r="B289">
        <v>2020</v>
      </c>
      <c r="C289">
        <v>300</v>
      </c>
      <c r="D289">
        <v>5511</v>
      </c>
      <c r="E289">
        <v>10</v>
      </c>
      <c r="F289">
        <v>202305</v>
      </c>
      <c r="G289">
        <v>1600112</v>
      </c>
      <c r="H289" t="s">
        <v>160</v>
      </c>
      <c r="I289" t="s">
        <v>45</v>
      </c>
      <c r="J289">
        <v>7</v>
      </c>
      <c r="K289">
        <f t="shared" ca="1" si="45"/>
        <v>18</v>
      </c>
      <c r="L289">
        <f t="shared" ca="1" si="46"/>
        <v>-65</v>
      </c>
      <c r="M289">
        <f t="shared" ca="1" si="47"/>
        <v>428</v>
      </c>
      <c r="N289">
        <f t="shared" ca="1" si="47"/>
        <v>433</v>
      </c>
      <c r="O289">
        <f t="shared" ca="1" si="44"/>
        <v>964</v>
      </c>
      <c r="P289">
        <f t="shared" ca="1" si="48"/>
        <v>-216</v>
      </c>
      <c r="Q289">
        <f t="shared" ca="1" si="49"/>
        <v>766</v>
      </c>
      <c r="R289">
        <f t="shared" ca="1" si="50"/>
        <v>416</v>
      </c>
      <c r="S289">
        <f t="shared" ca="1" si="51"/>
        <v>10466</v>
      </c>
      <c r="T289">
        <f t="shared" ca="1" si="52"/>
        <v>123</v>
      </c>
      <c r="U289">
        <f t="shared" ca="1" si="53"/>
        <v>881</v>
      </c>
      <c r="V289">
        <v>0</v>
      </c>
      <c r="W289">
        <v>0</v>
      </c>
      <c r="X289">
        <f t="shared" ca="1" si="54"/>
        <v>-302</v>
      </c>
      <c r="Y289">
        <v>0</v>
      </c>
      <c r="Z289">
        <v>0</v>
      </c>
      <c r="AA289">
        <v>42</v>
      </c>
      <c r="AB289" t="s">
        <v>199</v>
      </c>
      <c r="AC289" t="s">
        <v>179</v>
      </c>
      <c r="AD289">
        <v>1</v>
      </c>
      <c r="AE289">
        <v>52</v>
      </c>
      <c r="AF289">
        <v>265</v>
      </c>
      <c r="AG289" t="s">
        <v>47</v>
      </c>
      <c r="AH289" t="s">
        <v>48</v>
      </c>
      <c r="AI289" t="s">
        <v>49</v>
      </c>
      <c r="AJ289" t="s">
        <v>50</v>
      </c>
      <c r="AK289" t="s">
        <v>51</v>
      </c>
      <c r="AL289">
        <v>3.6726999999999999</v>
      </c>
      <c r="AM289" t="s">
        <v>52</v>
      </c>
      <c r="AN289" t="s">
        <v>162</v>
      </c>
      <c r="AO289" t="s">
        <v>163</v>
      </c>
      <c r="AP289" t="s">
        <v>164</v>
      </c>
      <c r="AQ289" t="s">
        <v>55</v>
      </c>
    </row>
    <row r="290" spans="1:43" x14ac:dyDescent="0.3">
      <c r="A290" t="s">
        <v>43</v>
      </c>
      <c r="B290">
        <v>2020</v>
      </c>
      <c r="C290">
        <v>300</v>
      </c>
      <c r="D290">
        <v>5511</v>
      </c>
      <c r="E290">
        <v>10</v>
      </c>
      <c r="F290">
        <v>202305</v>
      </c>
      <c r="G290">
        <v>1600114</v>
      </c>
      <c r="H290" t="s">
        <v>160</v>
      </c>
      <c r="I290" t="s">
        <v>45</v>
      </c>
      <c r="J290">
        <v>7</v>
      </c>
      <c r="K290">
        <f t="shared" ca="1" si="45"/>
        <v>60</v>
      </c>
      <c r="L290">
        <f t="shared" ca="1" si="46"/>
        <v>-71</v>
      </c>
      <c r="M290">
        <f t="shared" ca="1" si="47"/>
        <v>216</v>
      </c>
      <c r="N290">
        <f t="shared" ca="1" si="47"/>
        <v>478</v>
      </c>
      <c r="O290">
        <f t="shared" ca="1" si="44"/>
        <v>789</v>
      </c>
      <c r="P290">
        <f t="shared" ca="1" si="48"/>
        <v>273</v>
      </c>
      <c r="Q290">
        <f t="shared" ca="1" si="49"/>
        <v>498</v>
      </c>
      <c r="R290">
        <f t="shared" ca="1" si="50"/>
        <v>419</v>
      </c>
      <c r="S290">
        <f t="shared" ca="1" si="51"/>
        <v>2662</v>
      </c>
      <c r="T290">
        <f t="shared" ca="1" si="52"/>
        <v>1634</v>
      </c>
      <c r="U290">
        <f t="shared" ca="1" si="53"/>
        <v>424</v>
      </c>
      <c r="V290">
        <v>0</v>
      </c>
      <c r="W290">
        <v>0</v>
      </c>
      <c r="X290">
        <f t="shared" ca="1" si="54"/>
        <v>-474</v>
      </c>
      <c r="Y290">
        <v>0</v>
      </c>
      <c r="Z290">
        <v>0</v>
      </c>
      <c r="AA290">
        <v>100</v>
      </c>
      <c r="AB290" t="s">
        <v>199</v>
      </c>
      <c r="AC290" t="s">
        <v>181</v>
      </c>
      <c r="AD290">
        <v>1</v>
      </c>
      <c r="AE290">
        <v>52</v>
      </c>
      <c r="AF290">
        <v>265</v>
      </c>
      <c r="AG290" t="s">
        <v>47</v>
      </c>
      <c r="AH290" t="s">
        <v>48</v>
      </c>
      <c r="AI290" t="s">
        <v>49</v>
      </c>
      <c r="AJ290" t="s">
        <v>50</v>
      </c>
      <c r="AK290" t="s">
        <v>51</v>
      </c>
      <c r="AL290">
        <v>3.6726999999999999</v>
      </c>
      <c r="AM290" t="s">
        <v>52</v>
      </c>
      <c r="AN290" t="s">
        <v>162</v>
      </c>
      <c r="AO290" t="s">
        <v>163</v>
      </c>
      <c r="AP290" t="s">
        <v>164</v>
      </c>
      <c r="AQ290" t="s">
        <v>55</v>
      </c>
    </row>
    <row r="291" spans="1:43" x14ac:dyDescent="0.3">
      <c r="A291" t="s">
        <v>43</v>
      </c>
      <c r="B291">
        <v>2020</v>
      </c>
      <c r="C291">
        <v>300</v>
      </c>
      <c r="D291">
        <v>5511</v>
      </c>
      <c r="E291">
        <v>10</v>
      </c>
      <c r="F291">
        <v>202305</v>
      </c>
      <c r="G291">
        <v>1600351</v>
      </c>
      <c r="H291" t="s">
        <v>160</v>
      </c>
      <c r="I291" t="s">
        <v>45</v>
      </c>
      <c r="J291">
        <v>7</v>
      </c>
      <c r="K291">
        <f t="shared" ca="1" si="45"/>
        <v>66</v>
      </c>
      <c r="L291">
        <f t="shared" ca="1" si="46"/>
        <v>96</v>
      </c>
      <c r="M291">
        <f t="shared" ca="1" si="47"/>
        <v>71</v>
      </c>
      <c r="N291">
        <f t="shared" ca="1" si="47"/>
        <v>17</v>
      </c>
      <c r="O291">
        <f t="shared" ca="1" si="44"/>
        <v>804</v>
      </c>
      <c r="P291">
        <f t="shared" ca="1" si="48"/>
        <v>478</v>
      </c>
      <c r="Q291">
        <f t="shared" ca="1" si="49"/>
        <v>36</v>
      </c>
      <c r="R291">
        <f t="shared" ca="1" si="50"/>
        <v>24</v>
      </c>
      <c r="S291">
        <f t="shared" ca="1" si="51"/>
        <v>6154</v>
      </c>
      <c r="T291">
        <f t="shared" ca="1" si="52"/>
        <v>5476</v>
      </c>
      <c r="U291">
        <f t="shared" ca="1" si="53"/>
        <v>1201</v>
      </c>
      <c r="V291">
        <v>0</v>
      </c>
      <c r="W291">
        <v>0</v>
      </c>
      <c r="X291">
        <f t="shared" ca="1" si="54"/>
        <v>-332</v>
      </c>
      <c r="Y291">
        <v>0</v>
      </c>
      <c r="Z291">
        <v>34</v>
      </c>
      <c r="AA291">
        <v>100</v>
      </c>
      <c r="AB291" t="s">
        <v>199</v>
      </c>
      <c r="AC291" t="s">
        <v>121</v>
      </c>
      <c r="AD291">
        <v>1</v>
      </c>
      <c r="AE291">
        <v>52</v>
      </c>
      <c r="AF291">
        <v>265</v>
      </c>
      <c r="AG291" t="s">
        <v>47</v>
      </c>
      <c r="AH291" t="s">
        <v>48</v>
      </c>
      <c r="AI291" t="s">
        <v>49</v>
      </c>
      <c r="AJ291" t="s">
        <v>50</v>
      </c>
      <c r="AK291" t="s">
        <v>51</v>
      </c>
      <c r="AL291">
        <v>3.6726999999999999</v>
      </c>
      <c r="AM291" t="s">
        <v>52</v>
      </c>
      <c r="AN291" t="s">
        <v>162</v>
      </c>
      <c r="AO291" t="s">
        <v>163</v>
      </c>
      <c r="AP291" t="s">
        <v>164</v>
      </c>
      <c r="AQ291" t="s">
        <v>55</v>
      </c>
    </row>
    <row r="292" spans="1:43" x14ac:dyDescent="0.3">
      <c r="A292" t="s">
        <v>43</v>
      </c>
      <c r="B292">
        <v>2020</v>
      </c>
      <c r="C292">
        <v>300</v>
      </c>
      <c r="D292">
        <v>5511</v>
      </c>
      <c r="E292">
        <v>10</v>
      </c>
      <c r="F292">
        <v>202305</v>
      </c>
      <c r="G292">
        <v>1601209</v>
      </c>
      <c r="H292" t="s">
        <v>160</v>
      </c>
      <c r="I292" t="s">
        <v>45</v>
      </c>
      <c r="J292">
        <v>7</v>
      </c>
      <c r="K292">
        <f t="shared" ca="1" si="45"/>
        <v>26</v>
      </c>
      <c r="L292">
        <f t="shared" ca="1" si="46"/>
        <v>-16</v>
      </c>
      <c r="M292">
        <f t="shared" ca="1" si="47"/>
        <v>-74</v>
      </c>
      <c r="N292">
        <f t="shared" ca="1" si="47"/>
        <v>189</v>
      </c>
      <c r="O292">
        <f t="shared" ca="1" si="44"/>
        <v>247</v>
      </c>
      <c r="P292">
        <f t="shared" ca="1" si="48"/>
        <v>680</v>
      </c>
      <c r="Q292">
        <f t="shared" ca="1" si="49"/>
        <v>1123</v>
      </c>
      <c r="R292">
        <f t="shared" ca="1" si="50"/>
        <v>-58</v>
      </c>
      <c r="S292">
        <f t="shared" ca="1" si="51"/>
        <v>676</v>
      </c>
      <c r="T292">
        <f t="shared" ca="1" si="52"/>
        <v>7668</v>
      </c>
      <c r="U292">
        <f t="shared" ca="1" si="53"/>
        <v>128</v>
      </c>
      <c r="V292">
        <v>0</v>
      </c>
      <c r="W292">
        <v>0</v>
      </c>
      <c r="X292">
        <f t="shared" ca="1" si="54"/>
        <v>-273</v>
      </c>
      <c r="Y292">
        <v>0</v>
      </c>
      <c r="Z292">
        <v>0</v>
      </c>
      <c r="AA292">
        <v>82</v>
      </c>
      <c r="AB292" t="s">
        <v>199</v>
      </c>
      <c r="AC292" t="s">
        <v>175</v>
      </c>
      <c r="AD292">
        <v>1</v>
      </c>
      <c r="AE292">
        <v>52</v>
      </c>
      <c r="AF292">
        <v>265</v>
      </c>
      <c r="AG292" t="s">
        <v>47</v>
      </c>
      <c r="AH292" t="s">
        <v>48</v>
      </c>
      <c r="AI292" t="s">
        <v>49</v>
      </c>
      <c r="AJ292" t="s">
        <v>50</v>
      </c>
      <c r="AK292" t="s">
        <v>51</v>
      </c>
      <c r="AL292">
        <v>3.6726999999999999</v>
      </c>
      <c r="AM292" t="s">
        <v>52</v>
      </c>
      <c r="AN292" t="s">
        <v>162</v>
      </c>
      <c r="AO292" t="s">
        <v>163</v>
      </c>
      <c r="AP292" t="s">
        <v>164</v>
      </c>
      <c r="AQ292" t="s">
        <v>55</v>
      </c>
    </row>
    <row r="293" spans="1:43" x14ac:dyDescent="0.3">
      <c r="A293" t="s">
        <v>43</v>
      </c>
      <c r="B293">
        <v>2020</v>
      </c>
      <c r="C293">
        <v>300</v>
      </c>
      <c r="D293">
        <v>5511</v>
      </c>
      <c r="E293">
        <v>10</v>
      </c>
      <c r="F293">
        <v>202305</v>
      </c>
      <c r="G293">
        <v>1800109</v>
      </c>
      <c r="H293" t="s">
        <v>160</v>
      </c>
      <c r="I293" t="s">
        <v>45</v>
      </c>
      <c r="J293">
        <v>7</v>
      </c>
      <c r="K293">
        <f t="shared" ca="1" si="45"/>
        <v>63</v>
      </c>
      <c r="L293">
        <f t="shared" ca="1" si="46"/>
        <v>-90</v>
      </c>
      <c r="M293">
        <f t="shared" ca="1" si="47"/>
        <v>428</v>
      </c>
      <c r="N293">
        <f t="shared" ca="1" si="47"/>
        <v>189</v>
      </c>
      <c r="O293">
        <f t="shared" ca="1" si="44"/>
        <v>983</v>
      </c>
      <c r="P293">
        <f t="shared" ca="1" si="48"/>
        <v>-118</v>
      </c>
      <c r="Q293">
        <f t="shared" ca="1" si="49"/>
        <v>445</v>
      </c>
      <c r="R293">
        <f t="shared" ca="1" si="50"/>
        <v>191</v>
      </c>
      <c r="S293">
        <f t="shared" ca="1" si="51"/>
        <v>549</v>
      </c>
      <c r="T293">
        <f t="shared" ca="1" si="52"/>
        <v>7517</v>
      </c>
      <c r="U293">
        <f t="shared" ca="1" si="53"/>
        <v>832</v>
      </c>
      <c r="V293">
        <v>0</v>
      </c>
      <c r="W293">
        <v>0</v>
      </c>
      <c r="X293">
        <f t="shared" ca="1" si="54"/>
        <v>72</v>
      </c>
      <c r="Y293">
        <v>0</v>
      </c>
      <c r="Z293">
        <v>212</v>
      </c>
      <c r="AA293">
        <v>100</v>
      </c>
      <c r="AB293" t="s">
        <v>201</v>
      </c>
      <c r="AC293" t="s">
        <v>171</v>
      </c>
      <c r="AD293">
        <v>1</v>
      </c>
      <c r="AE293">
        <v>52</v>
      </c>
      <c r="AF293">
        <v>265</v>
      </c>
      <c r="AG293" t="s">
        <v>47</v>
      </c>
      <c r="AH293" t="s">
        <v>48</v>
      </c>
      <c r="AI293" t="s">
        <v>49</v>
      </c>
      <c r="AJ293" t="s">
        <v>50</v>
      </c>
      <c r="AK293" t="s">
        <v>51</v>
      </c>
      <c r="AL293">
        <v>3.6726999999999999</v>
      </c>
      <c r="AM293" t="s">
        <v>52</v>
      </c>
      <c r="AN293" t="s">
        <v>162</v>
      </c>
      <c r="AO293" t="s">
        <v>163</v>
      </c>
      <c r="AP293" t="s">
        <v>164</v>
      </c>
      <c r="AQ293" t="s">
        <v>55</v>
      </c>
    </row>
    <row r="294" spans="1:43" x14ac:dyDescent="0.3">
      <c r="A294" t="s">
        <v>43</v>
      </c>
      <c r="B294">
        <v>2020</v>
      </c>
      <c r="C294">
        <v>300</v>
      </c>
      <c r="D294">
        <v>5511</v>
      </c>
      <c r="E294">
        <v>10</v>
      </c>
      <c r="F294">
        <v>202305</v>
      </c>
      <c r="G294">
        <v>1815115</v>
      </c>
      <c r="H294" t="s">
        <v>160</v>
      </c>
      <c r="I294" t="s">
        <v>45</v>
      </c>
      <c r="J294">
        <v>7</v>
      </c>
      <c r="K294">
        <f t="shared" ca="1" si="45"/>
        <v>90</v>
      </c>
      <c r="L294">
        <f t="shared" ca="1" si="46"/>
        <v>92</v>
      </c>
      <c r="M294">
        <f t="shared" ca="1" si="47"/>
        <v>303</v>
      </c>
      <c r="N294">
        <f t="shared" ca="1" si="47"/>
        <v>60</v>
      </c>
      <c r="O294">
        <f t="shared" ca="1" si="44"/>
        <v>763</v>
      </c>
      <c r="P294">
        <f t="shared" ca="1" si="48"/>
        <v>-364</v>
      </c>
      <c r="Q294">
        <f t="shared" ca="1" si="49"/>
        <v>488</v>
      </c>
      <c r="R294">
        <f t="shared" ca="1" si="50"/>
        <v>-99</v>
      </c>
      <c r="S294">
        <f t="shared" ca="1" si="51"/>
        <v>1649</v>
      </c>
      <c r="T294">
        <f t="shared" ca="1" si="52"/>
        <v>64</v>
      </c>
      <c r="U294">
        <f t="shared" ca="1" si="53"/>
        <v>1024</v>
      </c>
      <c r="V294">
        <v>0</v>
      </c>
      <c r="W294">
        <v>0</v>
      </c>
      <c r="X294">
        <f t="shared" ca="1" si="54"/>
        <v>11</v>
      </c>
      <c r="Y294">
        <v>0</v>
      </c>
      <c r="Z294">
        <v>379</v>
      </c>
      <c r="AA294">
        <v>100</v>
      </c>
      <c r="AB294" t="s">
        <v>201</v>
      </c>
      <c r="AC294" t="s">
        <v>202</v>
      </c>
      <c r="AD294">
        <v>1</v>
      </c>
      <c r="AE294">
        <v>52</v>
      </c>
      <c r="AF294">
        <v>265</v>
      </c>
      <c r="AG294" t="s">
        <v>47</v>
      </c>
      <c r="AH294" t="s">
        <v>48</v>
      </c>
      <c r="AI294" t="s">
        <v>49</v>
      </c>
      <c r="AJ294" t="s">
        <v>50</v>
      </c>
      <c r="AK294" t="s">
        <v>51</v>
      </c>
      <c r="AL294">
        <v>3.6726999999999999</v>
      </c>
      <c r="AM294" t="s">
        <v>52</v>
      </c>
      <c r="AN294" t="s">
        <v>162</v>
      </c>
      <c r="AO294" t="s">
        <v>163</v>
      </c>
      <c r="AP294" t="s">
        <v>164</v>
      </c>
      <c r="AQ294" t="s">
        <v>55</v>
      </c>
    </row>
    <row r="295" spans="1:43" x14ac:dyDescent="0.3">
      <c r="A295" t="s">
        <v>43</v>
      </c>
      <c r="B295">
        <v>2020</v>
      </c>
      <c r="C295">
        <v>300</v>
      </c>
      <c r="D295">
        <v>5511</v>
      </c>
      <c r="E295">
        <v>10</v>
      </c>
      <c r="F295">
        <v>202305</v>
      </c>
      <c r="G295">
        <v>3100302</v>
      </c>
      <c r="H295" t="s">
        <v>160</v>
      </c>
      <c r="I295" t="s">
        <v>45</v>
      </c>
      <c r="J295">
        <v>7</v>
      </c>
      <c r="K295">
        <f t="shared" ca="1" si="45"/>
        <v>18</v>
      </c>
      <c r="L295">
        <f t="shared" ca="1" si="46"/>
        <v>-15</v>
      </c>
      <c r="M295">
        <f t="shared" ca="1" si="47"/>
        <v>48</v>
      </c>
      <c r="N295">
        <f t="shared" ca="1" si="47"/>
        <v>391</v>
      </c>
      <c r="O295">
        <f t="shared" ca="1" si="44"/>
        <v>551</v>
      </c>
      <c r="P295">
        <f t="shared" ca="1" si="48"/>
        <v>-301</v>
      </c>
      <c r="Q295">
        <f t="shared" ca="1" si="49"/>
        <v>1181</v>
      </c>
      <c r="R295">
        <f t="shared" ca="1" si="50"/>
        <v>82</v>
      </c>
      <c r="S295">
        <f t="shared" ca="1" si="51"/>
        <v>2459</v>
      </c>
      <c r="T295">
        <f t="shared" ca="1" si="52"/>
        <v>2920</v>
      </c>
      <c r="U295">
        <f t="shared" ca="1" si="53"/>
        <v>-62</v>
      </c>
      <c r="V295">
        <v>0</v>
      </c>
      <c r="W295">
        <v>0</v>
      </c>
      <c r="X295">
        <f t="shared" ca="1" si="54"/>
        <v>-223</v>
      </c>
      <c r="Y295">
        <v>0</v>
      </c>
      <c r="Z295">
        <v>115</v>
      </c>
      <c r="AA295">
        <v>100</v>
      </c>
      <c r="AB295" t="s">
        <v>80</v>
      </c>
      <c r="AC295" t="s">
        <v>82</v>
      </c>
      <c r="AD295">
        <v>1</v>
      </c>
      <c r="AE295">
        <v>52</v>
      </c>
      <c r="AF295">
        <v>265</v>
      </c>
      <c r="AG295" t="s">
        <v>47</v>
      </c>
      <c r="AH295" t="s">
        <v>48</v>
      </c>
      <c r="AI295" t="s">
        <v>49</v>
      </c>
      <c r="AJ295" t="s">
        <v>50</v>
      </c>
      <c r="AK295" t="s">
        <v>51</v>
      </c>
      <c r="AL295">
        <v>3.6726999999999999</v>
      </c>
      <c r="AM295" t="s">
        <v>52</v>
      </c>
      <c r="AN295" t="s">
        <v>162</v>
      </c>
      <c r="AO295" t="s">
        <v>163</v>
      </c>
      <c r="AP295" t="s">
        <v>164</v>
      </c>
      <c r="AQ295" t="s">
        <v>55</v>
      </c>
    </row>
    <row r="296" spans="1:43" x14ac:dyDescent="0.3">
      <c r="A296" t="s">
        <v>43</v>
      </c>
      <c r="B296">
        <v>2020</v>
      </c>
      <c r="C296">
        <v>300</v>
      </c>
      <c r="D296">
        <v>5511</v>
      </c>
      <c r="E296">
        <v>10</v>
      </c>
      <c r="F296">
        <v>202305</v>
      </c>
      <c r="G296">
        <v>3300351</v>
      </c>
      <c r="H296" t="s">
        <v>160</v>
      </c>
      <c r="I296" t="s">
        <v>45</v>
      </c>
      <c r="J296">
        <v>7</v>
      </c>
      <c r="K296">
        <f t="shared" ca="1" si="45"/>
        <v>90</v>
      </c>
      <c r="L296">
        <f t="shared" ca="1" si="46"/>
        <v>-15</v>
      </c>
      <c r="M296">
        <f t="shared" ca="1" si="47"/>
        <v>482</v>
      </c>
      <c r="N296">
        <f t="shared" ca="1" si="47"/>
        <v>-77</v>
      </c>
      <c r="O296">
        <f t="shared" ca="1" si="44"/>
        <v>289</v>
      </c>
      <c r="P296">
        <f t="shared" ca="1" si="48"/>
        <v>227</v>
      </c>
      <c r="Q296">
        <f t="shared" ca="1" si="49"/>
        <v>389</v>
      </c>
      <c r="R296">
        <f t="shared" ca="1" si="50"/>
        <v>251</v>
      </c>
      <c r="S296">
        <f t="shared" ca="1" si="51"/>
        <v>2331</v>
      </c>
      <c r="T296">
        <f t="shared" ca="1" si="52"/>
        <v>7286</v>
      </c>
      <c r="U296">
        <f t="shared" ca="1" si="53"/>
        <v>358</v>
      </c>
      <c r="V296">
        <v>0</v>
      </c>
      <c r="W296">
        <v>0</v>
      </c>
      <c r="X296">
        <f t="shared" ca="1" si="54"/>
        <v>-163</v>
      </c>
      <c r="Y296">
        <v>0</v>
      </c>
      <c r="Z296">
        <v>0</v>
      </c>
      <c r="AA296">
        <v>93</v>
      </c>
      <c r="AB296" t="s">
        <v>91</v>
      </c>
      <c r="AC296" t="s">
        <v>121</v>
      </c>
      <c r="AD296">
        <v>1</v>
      </c>
      <c r="AE296">
        <v>52</v>
      </c>
      <c r="AF296">
        <v>265</v>
      </c>
      <c r="AG296" t="s">
        <v>47</v>
      </c>
      <c r="AH296" t="s">
        <v>48</v>
      </c>
      <c r="AI296" t="s">
        <v>49</v>
      </c>
      <c r="AJ296" t="s">
        <v>50</v>
      </c>
      <c r="AK296" t="s">
        <v>51</v>
      </c>
      <c r="AL296">
        <v>3.6726999999999999</v>
      </c>
      <c r="AM296" t="s">
        <v>52</v>
      </c>
      <c r="AN296" t="s">
        <v>162</v>
      </c>
      <c r="AO296" t="s">
        <v>163</v>
      </c>
      <c r="AP296" t="s">
        <v>164</v>
      </c>
      <c r="AQ296" t="s">
        <v>55</v>
      </c>
    </row>
    <row r="297" spans="1:43" x14ac:dyDescent="0.3">
      <c r="A297" t="s">
        <v>43</v>
      </c>
      <c r="B297">
        <v>2020</v>
      </c>
      <c r="C297">
        <v>300</v>
      </c>
      <c r="D297">
        <v>5512</v>
      </c>
      <c r="E297">
        <v>10</v>
      </c>
      <c r="F297">
        <v>202305</v>
      </c>
      <c r="G297">
        <v>1100110</v>
      </c>
      <c r="H297" t="s">
        <v>160</v>
      </c>
      <c r="I297" t="s">
        <v>45</v>
      </c>
      <c r="J297">
        <v>7</v>
      </c>
      <c r="K297">
        <f t="shared" ca="1" si="45"/>
        <v>83</v>
      </c>
      <c r="L297">
        <f t="shared" ca="1" si="46"/>
        <v>60</v>
      </c>
      <c r="M297">
        <f t="shared" ca="1" si="47"/>
        <v>-51</v>
      </c>
      <c r="N297">
        <f t="shared" ca="1" si="47"/>
        <v>-73</v>
      </c>
      <c r="O297">
        <f t="shared" ca="1" si="44"/>
        <v>268</v>
      </c>
      <c r="P297">
        <f t="shared" ca="1" si="48"/>
        <v>-360</v>
      </c>
      <c r="Q297">
        <f t="shared" ca="1" si="49"/>
        <v>460</v>
      </c>
      <c r="R297">
        <f t="shared" ca="1" si="50"/>
        <v>356</v>
      </c>
      <c r="S297">
        <f t="shared" ca="1" si="51"/>
        <v>11077</v>
      </c>
      <c r="T297">
        <f t="shared" ca="1" si="52"/>
        <v>7305</v>
      </c>
      <c r="U297">
        <f t="shared" ca="1" si="53"/>
        <v>242</v>
      </c>
      <c r="V297">
        <v>0</v>
      </c>
      <c r="W297">
        <v>0</v>
      </c>
      <c r="X297">
        <f t="shared" ca="1" si="54"/>
        <v>-468</v>
      </c>
      <c r="Y297">
        <v>0</v>
      </c>
      <c r="Z297">
        <v>0</v>
      </c>
      <c r="AA297">
        <v>100</v>
      </c>
      <c r="AB297" t="s">
        <v>65</v>
      </c>
      <c r="AC297" t="s">
        <v>172</v>
      </c>
      <c r="AD297">
        <v>1</v>
      </c>
      <c r="AE297">
        <v>52</v>
      </c>
      <c r="AF297">
        <v>265</v>
      </c>
      <c r="AG297" t="s">
        <v>47</v>
      </c>
      <c r="AH297" t="s">
        <v>48</v>
      </c>
      <c r="AI297" t="s">
        <v>49</v>
      </c>
      <c r="AJ297" t="s">
        <v>50</v>
      </c>
      <c r="AK297" t="s">
        <v>51</v>
      </c>
      <c r="AL297">
        <v>3.6726999999999999</v>
      </c>
      <c r="AM297" t="s">
        <v>52</v>
      </c>
      <c r="AN297" t="s">
        <v>225</v>
      </c>
      <c r="AO297" t="s">
        <v>163</v>
      </c>
      <c r="AP297" t="s">
        <v>48</v>
      </c>
      <c r="AQ297" t="s">
        <v>55</v>
      </c>
    </row>
    <row r="298" spans="1:43" x14ac:dyDescent="0.3">
      <c r="A298" t="s">
        <v>43</v>
      </c>
      <c r="B298">
        <v>1999</v>
      </c>
      <c r="C298">
        <v>535</v>
      </c>
      <c r="D298">
        <v>5010</v>
      </c>
      <c r="E298">
        <v>50</v>
      </c>
      <c r="F298">
        <v>202305</v>
      </c>
      <c r="G298">
        <v>5000502</v>
      </c>
      <c r="H298" t="s">
        <v>44</v>
      </c>
      <c r="I298" t="s">
        <v>45</v>
      </c>
      <c r="J298">
        <v>7</v>
      </c>
      <c r="K298">
        <f t="shared" ca="1" si="45"/>
        <v>71</v>
      </c>
      <c r="L298">
        <f t="shared" ca="1" si="46"/>
        <v>-100</v>
      </c>
      <c r="M298">
        <f t="shared" ca="1" si="47"/>
        <v>-83</v>
      </c>
      <c r="N298">
        <f t="shared" ca="1" si="47"/>
        <v>-50</v>
      </c>
      <c r="O298">
        <f t="shared" ca="1" si="44"/>
        <v>698</v>
      </c>
      <c r="P298">
        <f t="shared" ca="1" si="48"/>
        <v>13</v>
      </c>
      <c r="Q298">
        <f t="shared" ca="1" si="49"/>
        <v>413</v>
      </c>
      <c r="R298">
        <f t="shared" ca="1" si="50"/>
        <v>40</v>
      </c>
      <c r="S298">
        <f t="shared" ca="1" si="51"/>
        <v>3132</v>
      </c>
      <c r="T298">
        <f t="shared" ca="1" si="52"/>
        <v>9927</v>
      </c>
      <c r="U298">
        <f t="shared" ca="1" si="53"/>
        <v>60</v>
      </c>
      <c r="V298">
        <v>0</v>
      </c>
      <c r="W298">
        <v>0</v>
      </c>
      <c r="X298">
        <f t="shared" ca="1" si="54"/>
        <v>-166</v>
      </c>
      <c r="Y298">
        <v>0</v>
      </c>
      <c r="Z298">
        <v>0</v>
      </c>
      <c r="AA298">
        <v>0</v>
      </c>
      <c r="AB298" t="s">
        <v>46</v>
      </c>
      <c r="AD298">
        <v>1</v>
      </c>
      <c r="AE298">
        <v>52</v>
      </c>
      <c r="AF298">
        <v>2257</v>
      </c>
      <c r="AG298" t="s">
        <v>47</v>
      </c>
      <c r="AH298" t="s">
        <v>226</v>
      </c>
      <c r="AI298" t="s">
        <v>227</v>
      </c>
      <c r="AJ298" t="s">
        <v>50</v>
      </c>
      <c r="AK298" t="s">
        <v>51</v>
      </c>
      <c r="AL298">
        <v>3.6726999999999999</v>
      </c>
      <c r="AM298" t="s">
        <v>52</v>
      </c>
      <c r="AN298" t="s">
        <v>53</v>
      </c>
      <c r="AO298" t="s">
        <v>54</v>
      </c>
      <c r="AP298" t="s">
        <v>48</v>
      </c>
      <c r="AQ298" t="s">
        <v>55</v>
      </c>
    </row>
    <row r="299" spans="1:43" x14ac:dyDescent="0.3">
      <c r="A299" t="s">
        <v>43</v>
      </c>
      <c r="B299">
        <v>1999</v>
      </c>
      <c r="C299">
        <v>535</v>
      </c>
      <c r="D299">
        <v>5111</v>
      </c>
      <c r="E299">
        <v>1</v>
      </c>
      <c r="F299">
        <v>202305</v>
      </c>
      <c r="G299">
        <v>1</v>
      </c>
      <c r="H299" t="s">
        <v>56</v>
      </c>
      <c r="I299" t="s">
        <v>45</v>
      </c>
      <c r="J299">
        <v>2</v>
      </c>
      <c r="K299">
        <f t="shared" ca="1" si="45"/>
        <v>50</v>
      </c>
      <c r="L299">
        <f t="shared" ca="1" si="46"/>
        <v>-72</v>
      </c>
      <c r="M299">
        <f t="shared" ca="1" si="47"/>
        <v>170</v>
      </c>
      <c r="N299">
        <f t="shared" ca="1" si="47"/>
        <v>169</v>
      </c>
      <c r="O299">
        <f t="shared" ca="1" si="44"/>
        <v>270</v>
      </c>
      <c r="P299">
        <f t="shared" ca="1" si="48"/>
        <v>656</v>
      </c>
      <c r="Q299">
        <f t="shared" ca="1" si="49"/>
        <v>79</v>
      </c>
      <c r="R299">
        <f t="shared" ca="1" si="50"/>
        <v>-53</v>
      </c>
      <c r="S299">
        <f t="shared" ca="1" si="51"/>
        <v>14543</v>
      </c>
      <c r="T299">
        <f t="shared" ca="1" si="52"/>
        <v>7301</v>
      </c>
      <c r="U299">
        <f t="shared" ca="1" si="53"/>
        <v>866</v>
      </c>
      <c r="V299">
        <v>0</v>
      </c>
      <c r="W299">
        <v>0</v>
      </c>
      <c r="X299">
        <f t="shared" ca="1" si="54"/>
        <v>-379</v>
      </c>
      <c r="Y299">
        <v>0</v>
      </c>
      <c r="Z299">
        <v>0</v>
      </c>
      <c r="AA299">
        <v>10</v>
      </c>
      <c r="AB299" t="s">
        <v>57</v>
      </c>
      <c r="AD299">
        <v>1</v>
      </c>
      <c r="AE299">
        <v>52</v>
      </c>
      <c r="AF299">
        <v>2257</v>
      </c>
      <c r="AG299" t="s">
        <v>47</v>
      </c>
      <c r="AH299" t="s">
        <v>226</v>
      </c>
      <c r="AI299" t="s">
        <v>227</v>
      </c>
      <c r="AJ299" t="s">
        <v>50</v>
      </c>
      <c r="AK299" t="s">
        <v>51</v>
      </c>
      <c r="AL299">
        <v>3.6726999999999999</v>
      </c>
      <c r="AM299" t="s">
        <v>52</v>
      </c>
      <c r="AN299" t="s">
        <v>58</v>
      </c>
      <c r="AO299" t="s">
        <v>59</v>
      </c>
      <c r="AP299" t="s">
        <v>60</v>
      </c>
      <c r="AQ299" t="s">
        <v>55</v>
      </c>
    </row>
    <row r="300" spans="1:43" x14ac:dyDescent="0.3">
      <c r="A300" t="s">
        <v>43</v>
      </c>
      <c r="B300">
        <v>1999</v>
      </c>
      <c r="C300">
        <v>535</v>
      </c>
      <c r="D300">
        <v>5111</v>
      </c>
      <c r="E300">
        <v>1</v>
      </c>
      <c r="F300">
        <v>202305</v>
      </c>
      <c r="G300">
        <v>2</v>
      </c>
      <c r="H300" t="s">
        <v>56</v>
      </c>
      <c r="I300" t="s">
        <v>45</v>
      </c>
      <c r="J300">
        <v>2</v>
      </c>
      <c r="K300">
        <f t="shared" ca="1" si="45"/>
        <v>10</v>
      </c>
      <c r="L300">
        <f t="shared" ca="1" si="46"/>
        <v>61</v>
      </c>
      <c r="M300">
        <f t="shared" ca="1" si="47"/>
        <v>181</v>
      </c>
      <c r="N300">
        <f t="shared" ca="1" si="47"/>
        <v>426</v>
      </c>
      <c r="O300">
        <f t="shared" ca="1" si="44"/>
        <v>506</v>
      </c>
      <c r="P300">
        <f t="shared" ca="1" si="48"/>
        <v>-409</v>
      </c>
      <c r="Q300">
        <f t="shared" ca="1" si="49"/>
        <v>209</v>
      </c>
      <c r="R300">
        <f t="shared" ca="1" si="50"/>
        <v>438</v>
      </c>
      <c r="S300">
        <f t="shared" ca="1" si="51"/>
        <v>10893</v>
      </c>
      <c r="T300">
        <f t="shared" ca="1" si="52"/>
        <v>4486</v>
      </c>
      <c r="U300">
        <f t="shared" ca="1" si="53"/>
        <v>398</v>
      </c>
      <c r="V300">
        <v>0</v>
      </c>
      <c r="W300">
        <v>0</v>
      </c>
      <c r="X300">
        <f t="shared" ca="1" si="54"/>
        <v>-60</v>
      </c>
      <c r="Y300">
        <v>0</v>
      </c>
      <c r="Z300">
        <v>0</v>
      </c>
      <c r="AA300">
        <v>15</v>
      </c>
      <c r="AB300" t="s">
        <v>61</v>
      </c>
      <c r="AD300">
        <v>1</v>
      </c>
      <c r="AE300">
        <v>52</v>
      </c>
      <c r="AF300">
        <v>2257</v>
      </c>
      <c r="AG300" t="s">
        <v>47</v>
      </c>
      <c r="AH300" t="s">
        <v>226</v>
      </c>
      <c r="AI300" t="s">
        <v>227</v>
      </c>
      <c r="AJ300" t="s">
        <v>50</v>
      </c>
      <c r="AK300" t="s">
        <v>51</v>
      </c>
      <c r="AL300">
        <v>3.6726999999999999</v>
      </c>
      <c r="AM300" t="s">
        <v>52</v>
      </c>
      <c r="AN300" t="s">
        <v>58</v>
      </c>
      <c r="AO300" t="s">
        <v>59</v>
      </c>
      <c r="AP300" t="s">
        <v>60</v>
      </c>
      <c r="AQ300" t="s">
        <v>55</v>
      </c>
    </row>
    <row r="301" spans="1:43" x14ac:dyDescent="0.3">
      <c r="A301" t="s">
        <v>43</v>
      </c>
      <c r="B301">
        <v>1999</v>
      </c>
      <c r="C301">
        <v>535</v>
      </c>
      <c r="D301">
        <v>5111</v>
      </c>
      <c r="E301">
        <v>1</v>
      </c>
      <c r="F301">
        <v>202305</v>
      </c>
      <c r="G301">
        <v>3</v>
      </c>
      <c r="H301" t="s">
        <v>56</v>
      </c>
      <c r="I301" t="s">
        <v>45</v>
      </c>
      <c r="J301">
        <v>2</v>
      </c>
      <c r="K301">
        <f t="shared" ca="1" si="45"/>
        <v>40</v>
      </c>
      <c r="L301">
        <f t="shared" ca="1" si="46"/>
        <v>44</v>
      </c>
      <c r="M301">
        <f t="shared" ca="1" si="47"/>
        <v>56</v>
      </c>
      <c r="N301">
        <f t="shared" ca="1" si="47"/>
        <v>113</v>
      </c>
      <c r="O301">
        <f t="shared" ca="1" si="44"/>
        <v>-24</v>
      </c>
      <c r="P301">
        <f t="shared" ca="1" si="48"/>
        <v>95</v>
      </c>
      <c r="Q301">
        <f t="shared" ca="1" si="49"/>
        <v>476</v>
      </c>
      <c r="R301">
        <f t="shared" ca="1" si="50"/>
        <v>11</v>
      </c>
      <c r="S301">
        <f t="shared" ca="1" si="51"/>
        <v>6119</v>
      </c>
      <c r="T301">
        <f t="shared" ca="1" si="52"/>
        <v>4493</v>
      </c>
      <c r="U301">
        <f t="shared" ca="1" si="53"/>
        <v>877</v>
      </c>
      <c r="V301">
        <v>0</v>
      </c>
      <c r="W301">
        <v>0</v>
      </c>
      <c r="X301">
        <f t="shared" ca="1" si="54"/>
        <v>-44</v>
      </c>
      <c r="Y301">
        <v>0</v>
      </c>
      <c r="Z301">
        <v>0</v>
      </c>
      <c r="AA301">
        <v>30</v>
      </c>
      <c r="AB301" t="s">
        <v>62</v>
      </c>
      <c r="AD301">
        <v>1</v>
      </c>
      <c r="AE301">
        <v>52</v>
      </c>
      <c r="AF301">
        <v>2257</v>
      </c>
      <c r="AG301" t="s">
        <v>47</v>
      </c>
      <c r="AH301" t="s">
        <v>226</v>
      </c>
      <c r="AI301" t="s">
        <v>227</v>
      </c>
      <c r="AJ301" t="s">
        <v>50</v>
      </c>
      <c r="AK301" t="s">
        <v>51</v>
      </c>
      <c r="AL301">
        <v>3.6726999999999999</v>
      </c>
      <c r="AM301" t="s">
        <v>52</v>
      </c>
      <c r="AN301" t="s">
        <v>58</v>
      </c>
      <c r="AO301" t="s">
        <v>59</v>
      </c>
      <c r="AP301" t="s">
        <v>60</v>
      </c>
      <c r="AQ301" t="s">
        <v>55</v>
      </c>
    </row>
    <row r="302" spans="1:43" x14ac:dyDescent="0.3">
      <c r="A302" t="s">
        <v>43</v>
      </c>
      <c r="B302">
        <v>1999</v>
      </c>
      <c r="C302">
        <v>535</v>
      </c>
      <c r="D302">
        <v>5111</v>
      </c>
      <c r="E302">
        <v>1</v>
      </c>
      <c r="F302">
        <v>202305</v>
      </c>
      <c r="G302">
        <v>5</v>
      </c>
      <c r="H302" t="s">
        <v>56</v>
      </c>
      <c r="I302" t="s">
        <v>45</v>
      </c>
      <c r="J302">
        <v>2</v>
      </c>
      <c r="K302">
        <f t="shared" ca="1" si="45"/>
        <v>38</v>
      </c>
      <c r="L302">
        <f t="shared" ca="1" si="46"/>
        <v>-38</v>
      </c>
      <c r="M302">
        <f t="shared" ca="1" si="47"/>
        <v>315</v>
      </c>
      <c r="N302">
        <f t="shared" ca="1" si="47"/>
        <v>351</v>
      </c>
      <c r="O302">
        <f t="shared" ca="1" si="44"/>
        <v>632</v>
      </c>
      <c r="P302">
        <f t="shared" ca="1" si="48"/>
        <v>476</v>
      </c>
      <c r="Q302">
        <f t="shared" ca="1" si="49"/>
        <v>601</v>
      </c>
      <c r="R302">
        <f t="shared" ca="1" si="50"/>
        <v>84</v>
      </c>
      <c r="S302">
        <f t="shared" ca="1" si="51"/>
        <v>9097</v>
      </c>
      <c r="T302">
        <f t="shared" ca="1" si="52"/>
        <v>9085</v>
      </c>
      <c r="U302">
        <f t="shared" ca="1" si="53"/>
        <v>588</v>
      </c>
      <c r="V302">
        <v>0</v>
      </c>
      <c r="W302">
        <v>0</v>
      </c>
      <c r="X302">
        <f t="shared" ca="1" si="54"/>
        <v>-142</v>
      </c>
      <c r="Y302">
        <v>0</v>
      </c>
      <c r="Z302">
        <v>0</v>
      </c>
      <c r="AA302">
        <v>16</v>
      </c>
      <c r="AB302" t="s">
        <v>64</v>
      </c>
      <c r="AD302">
        <v>1</v>
      </c>
      <c r="AE302">
        <v>52</v>
      </c>
      <c r="AF302">
        <v>2257</v>
      </c>
      <c r="AG302" t="s">
        <v>47</v>
      </c>
      <c r="AH302" t="s">
        <v>226</v>
      </c>
      <c r="AI302" t="s">
        <v>227</v>
      </c>
      <c r="AJ302" t="s">
        <v>50</v>
      </c>
      <c r="AK302" t="s">
        <v>51</v>
      </c>
      <c r="AL302">
        <v>3.6726999999999999</v>
      </c>
      <c r="AM302" t="s">
        <v>52</v>
      </c>
      <c r="AN302" t="s">
        <v>58</v>
      </c>
      <c r="AO302" t="s">
        <v>59</v>
      </c>
      <c r="AP302" t="s">
        <v>60</v>
      </c>
      <c r="AQ302" t="s">
        <v>55</v>
      </c>
    </row>
    <row r="303" spans="1:43" x14ac:dyDescent="0.3">
      <c r="A303" t="s">
        <v>43</v>
      </c>
      <c r="B303">
        <v>1999</v>
      </c>
      <c r="C303">
        <v>535</v>
      </c>
      <c r="D303">
        <v>5111</v>
      </c>
      <c r="E303">
        <v>1</v>
      </c>
      <c r="F303">
        <v>202305</v>
      </c>
      <c r="G303">
        <v>11</v>
      </c>
      <c r="H303" t="s">
        <v>56</v>
      </c>
      <c r="I303" t="s">
        <v>45</v>
      </c>
      <c r="J303">
        <v>2</v>
      </c>
      <c r="K303">
        <f t="shared" ca="1" si="45"/>
        <v>24</v>
      </c>
      <c r="L303">
        <f t="shared" ca="1" si="46"/>
        <v>54</v>
      </c>
      <c r="M303">
        <f t="shared" ca="1" si="47"/>
        <v>113</v>
      </c>
      <c r="N303">
        <f t="shared" ca="1" si="47"/>
        <v>144</v>
      </c>
      <c r="O303">
        <f t="shared" ca="1" si="44"/>
        <v>913</v>
      </c>
      <c r="P303">
        <f t="shared" ca="1" si="48"/>
        <v>-303</v>
      </c>
      <c r="Q303">
        <f t="shared" ca="1" si="49"/>
        <v>731</v>
      </c>
      <c r="R303">
        <f t="shared" ca="1" si="50"/>
        <v>-69</v>
      </c>
      <c r="S303">
        <f t="shared" ca="1" si="51"/>
        <v>14942</v>
      </c>
      <c r="T303">
        <f t="shared" ca="1" si="52"/>
        <v>7191</v>
      </c>
      <c r="U303">
        <f t="shared" ca="1" si="53"/>
        <v>970</v>
      </c>
      <c r="V303">
        <v>0</v>
      </c>
      <c r="W303">
        <v>0</v>
      </c>
      <c r="X303">
        <f t="shared" ca="1" si="54"/>
        <v>-62</v>
      </c>
      <c r="Y303">
        <v>0</v>
      </c>
      <c r="Z303">
        <v>0</v>
      </c>
      <c r="AA303">
        <v>17</v>
      </c>
      <c r="AB303" t="s">
        <v>65</v>
      </c>
      <c r="AD303">
        <v>1</v>
      </c>
      <c r="AE303">
        <v>52</v>
      </c>
      <c r="AF303">
        <v>2257</v>
      </c>
      <c r="AG303" t="s">
        <v>47</v>
      </c>
      <c r="AH303" t="s">
        <v>226</v>
      </c>
      <c r="AI303" t="s">
        <v>227</v>
      </c>
      <c r="AJ303" t="s">
        <v>50</v>
      </c>
      <c r="AK303" t="s">
        <v>51</v>
      </c>
      <c r="AL303">
        <v>3.6726999999999999</v>
      </c>
      <c r="AM303" t="s">
        <v>52</v>
      </c>
      <c r="AN303" t="s">
        <v>58</v>
      </c>
      <c r="AO303" t="s">
        <v>59</v>
      </c>
      <c r="AP303" t="s">
        <v>60</v>
      </c>
      <c r="AQ303" t="s">
        <v>55</v>
      </c>
    </row>
    <row r="304" spans="1:43" x14ac:dyDescent="0.3">
      <c r="A304" t="s">
        <v>43</v>
      </c>
      <c r="B304">
        <v>1999</v>
      </c>
      <c r="C304">
        <v>535</v>
      </c>
      <c r="D304">
        <v>5111</v>
      </c>
      <c r="E304">
        <v>4</v>
      </c>
      <c r="F304">
        <v>202305</v>
      </c>
      <c r="G304">
        <v>100001</v>
      </c>
      <c r="H304" t="s">
        <v>228</v>
      </c>
      <c r="I304" t="s">
        <v>45</v>
      </c>
      <c r="J304">
        <v>7</v>
      </c>
      <c r="K304">
        <f t="shared" ca="1" si="45"/>
        <v>92</v>
      </c>
      <c r="L304">
        <f t="shared" ca="1" si="46"/>
        <v>-81</v>
      </c>
      <c r="M304">
        <f t="shared" ca="1" si="47"/>
        <v>470</v>
      </c>
      <c r="N304">
        <f t="shared" ca="1" si="47"/>
        <v>392</v>
      </c>
      <c r="O304">
        <f t="shared" ca="1" si="44"/>
        <v>787</v>
      </c>
      <c r="P304">
        <f t="shared" ca="1" si="48"/>
        <v>-52</v>
      </c>
      <c r="Q304">
        <f t="shared" ca="1" si="49"/>
        <v>467</v>
      </c>
      <c r="R304">
        <f t="shared" ca="1" si="50"/>
        <v>-93</v>
      </c>
      <c r="S304">
        <f t="shared" ca="1" si="51"/>
        <v>14137</v>
      </c>
      <c r="T304">
        <f t="shared" ca="1" si="52"/>
        <v>4258</v>
      </c>
      <c r="U304">
        <f t="shared" ca="1" si="53"/>
        <v>357</v>
      </c>
      <c r="V304">
        <v>0</v>
      </c>
      <c r="W304">
        <v>0</v>
      </c>
      <c r="X304">
        <f t="shared" ca="1" si="54"/>
        <v>-227</v>
      </c>
      <c r="Y304">
        <v>0</v>
      </c>
      <c r="Z304">
        <v>0</v>
      </c>
      <c r="AA304">
        <v>0</v>
      </c>
      <c r="AB304" t="s">
        <v>57</v>
      </c>
      <c r="AC304" t="s">
        <v>67</v>
      </c>
      <c r="AD304">
        <v>1</v>
      </c>
      <c r="AE304">
        <v>52</v>
      </c>
      <c r="AF304">
        <v>2257</v>
      </c>
      <c r="AG304" t="s">
        <v>47</v>
      </c>
      <c r="AH304" t="s">
        <v>226</v>
      </c>
      <c r="AI304" t="s">
        <v>227</v>
      </c>
      <c r="AJ304" t="s">
        <v>50</v>
      </c>
      <c r="AK304" t="s">
        <v>51</v>
      </c>
      <c r="AL304">
        <v>3.6726999999999999</v>
      </c>
      <c r="AM304" t="s">
        <v>52</v>
      </c>
      <c r="AN304" t="s">
        <v>58</v>
      </c>
      <c r="AO304" t="s">
        <v>229</v>
      </c>
      <c r="AP304" t="s">
        <v>60</v>
      </c>
      <c r="AQ304" t="s">
        <v>55</v>
      </c>
    </row>
    <row r="305" spans="1:43" x14ac:dyDescent="0.3">
      <c r="A305" t="s">
        <v>43</v>
      </c>
      <c r="B305">
        <v>1999</v>
      </c>
      <c r="C305">
        <v>535</v>
      </c>
      <c r="D305">
        <v>5111</v>
      </c>
      <c r="E305">
        <v>4</v>
      </c>
      <c r="F305">
        <v>202305</v>
      </c>
      <c r="G305">
        <v>100002</v>
      </c>
      <c r="H305" t="s">
        <v>228</v>
      </c>
      <c r="I305" t="s">
        <v>45</v>
      </c>
      <c r="J305">
        <v>7</v>
      </c>
      <c r="K305">
        <f t="shared" ca="1" si="45"/>
        <v>53</v>
      </c>
      <c r="L305">
        <f t="shared" ca="1" si="46"/>
        <v>-55</v>
      </c>
      <c r="M305">
        <f t="shared" ca="1" si="47"/>
        <v>208</v>
      </c>
      <c r="N305">
        <f t="shared" ca="1" si="47"/>
        <v>98</v>
      </c>
      <c r="O305">
        <f t="shared" ca="1" si="44"/>
        <v>933</v>
      </c>
      <c r="P305">
        <f t="shared" ca="1" si="48"/>
        <v>532</v>
      </c>
      <c r="Q305">
        <f t="shared" ca="1" si="49"/>
        <v>316</v>
      </c>
      <c r="R305">
        <f t="shared" ca="1" si="50"/>
        <v>253</v>
      </c>
      <c r="S305">
        <f t="shared" ca="1" si="51"/>
        <v>2463</v>
      </c>
      <c r="T305">
        <f t="shared" ca="1" si="52"/>
        <v>9201</v>
      </c>
      <c r="U305">
        <f t="shared" ca="1" si="53"/>
        <v>646</v>
      </c>
      <c r="V305">
        <v>0</v>
      </c>
      <c r="W305">
        <v>0</v>
      </c>
      <c r="X305">
        <f t="shared" ca="1" si="54"/>
        <v>-374</v>
      </c>
      <c r="Y305">
        <v>0</v>
      </c>
      <c r="Z305">
        <v>0</v>
      </c>
      <c r="AA305">
        <v>0</v>
      </c>
      <c r="AB305" t="s">
        <v>57</v>
      </c>
      <c r="AC305" t="s">
        <v>69</v>
      </c>
      <c r="AD305">
        <v>1</v>
      </c>
      <c r="AE305">
        <v>52</v>
      </c>
      <c r="AF305">
        <v>2257</v>
      </c>
      <c r="AG305" t="s">
        <v>47</v>
      </c>
      <c r="AH305" t="s">
        <v>226</v>
      </c>
      <c r="AI305" t="s">
        <v>227</v>
      </c>
      <c r="AJ305" t="s">
        <v>50</v>
      </c>
      <c r="AK305" t="s">
        <v>51</v>
      </c>
      <c r="AL305">
        <v>3.6726999999999999</v>
      </c>
      <c r="AM305" t="s">
        <v>52</v>
      </c>
      <c r="AN305" t="s">
        <v>58</v>
      </c>
      <c r="AO305" t="s">
        <v>229</v>
      </c>
      <c r="AP305" t="s">
        <v>60</v>
      </c>
      <c r="AQ305" t="s">
        <v>55</v>
      </c>
    </row>
    <row r="306" spans="1:43" x14ac:dyDescent="0.3">
      <c r="A306" t="s">
        <v>43</v>
      </c>
      <c r="B306">
        <v>1999</v>
      </c>
      <c r="C306">
        <v>535</v>
      </c>
      <c r="D306">
        <v>5111</v>
      </c>
      <c r="E306">
        <v>4</v>
      </c>
      <c r="F306">
        <v>202305</v>
      </c>
      <c r="G306">
        <v>200012</v>
      </c>
      <c r="H306" t="s">
        <v>228</v>
      </c>
      <c r="I306" t="s">
        <v>45</v>
      </c>
      <c r="J306">
        <v>7</v>
      </c>
      <c r="K306">
        <f t="shared" ca="1" si="45"/>
        <v>92</v>
      </c>
      <c r="L306">
        <f t="shared" ca="1" si="46"/>
        <v>-62</v>
      </c>
      <c r="M306">
        <f t="shared" ca="1" si="47"/>
        <v>246</v>
      </c>
      <c r="N306">
        <f t="shared" ca="1" si="47"/>
        <v>350</v>
      </c>
      <c r="O306">
        <f t="shared" ca="1" si="44"/>
        <v>365</v>
      </c>
      <c r="P306">
        <f t="shared" ca="1" si="48"/>
        <v>91</v>
      </c>
      <c r="Q306">
        <f t="shared" ca="1" si="49"/>
        <v>898</v>
      </c>
      <c r="R306">
        <f t="shared" ca="1" si="50"/>
        <v>166</v>
      </c>
      <c r="S306">
        <f t="shared" ca="1" si="51"/>
        <v>14915</v>
      </c>
      <c r="T306">
        <f t="shared" ca="1" si="52"/>
        <v>310</v>
      </c>
      <c r="U306">
        <f t="shared" ca="1" si="53"/>
        <v>720</v>
      </c>
      <c r="V306">
        <v>0</v>
      </c>
      <c r="W306">
        <v>0</v>
      </c>
      <c r="X306">
        <f t="shared" ca="1" si="54"/>
        <v>-270</v>
      </c>
      <c r="Y306">
        <v>0</v>
      </c>
      <c r="Z306">
        <v>0</v>
      </c>
      <c r="AA306">
        <v>0</v>
      </c>
      <c r="AB306" t="s">
        <v>61</v>
      </c>
      <c r="AC306" t="s">
        <v>73</v>
      </c>
      <c r="AD306">
        <v>1</v>
      </c>
      <c r="AE306">
        <v>52</v>
      </c>
      <c r="AF306">
        <v>2257</v>
      </c>
      <c r="AG306" t="s">
        <v>47</v>
      </c>
      <c r="AH306" t="s">
        <v>226</v>
      </c>
      <c r="AI306" t="s">
        <v>227</v>
      </c>
      <c r="AJ306" t="s">
        <v>50</v>
      </c>
      <c r="AK306" t="s">
        <v>51</v>
      </c>
      <c r="AL306">
        <v>3.6726999999999999</v>
      </c>
      <c r="AM306" t="s">
        <v>52</v>
      </c>
      <c r="AN306" t="s">
        <v>58</v>
      </c>
      <c r="AO306" t="s">
        <v>229</v>
      </c>
      <c r="AP306" t="s">
        <v>60</v>
      </c>
      <c r="AQ306" t="s">
        <v>55</v>
      </c>
    </row>
    <row r="307" spans="1:43" x14ac:dyDescent="0.3">
      <c r="A307" t="s">
        <v>43</v>
      </c>
      <c r="B307">
        <v>1999</v>
      </c>
      <c r="C307">
        <v>535</v>
      </c>
      <c r="D307">
        <v>5111</v>
      </c>
      <c r="E307">
        <v>4</v>
      </c>
      <c r="F307">
        <v>202305</v>
      </c>
      <c r="G307">
        <v>300021</v>
      </c>
      <c r="H307" t="s">
        <v>228</v>
      </c>
      <c r="I307" t="s">
        <v>45</v>
      </c>
      <c r="J307">
        <v>7</v>
      </c>
      <c r="K307">
        <f t="shared" ca="1" si="45"/>
        <v>80</v>
      </c>
      <c r="L307">
        <f t="shared" ca="1" si="46"/>
        <v>-85</v>
      </c>
      <c r="M307">
        <f t="shared" ca="1" si="47"/>
        <v>60</v>
      </c>
      <c r="N307">
        <f t="shared" ca="1" si="47"/>
        <v>448</v>
      </c>
      <c r="O307">
        <f t="shared" ca="1" si="44"/>
        <v>173</v>
      </c>
      <c r="P307">
        <f t="shared" ca="1" si="48"/>
        <v>489</v>
      </c>
      <c r="Q307">
        <f t="shared" ca="1" si="49"/>
        <v>681</v>
      </c>
      <c r="R307">
        <f t="shared" ca="1" si="50"/>
        <v>60</v>
      </c>
      <c r="S307">
        <f t="shared" ca="1" si="51"/>
        <v>9642</v>
      </c>
      <c r="T307">
        <f t="shared" ca="1" si="52"/>
        <v>1822</v>
      </c>
      <c r="U307">
        <f t="shared" ca="1" si="53"/>
        <v>911</v>
      </c>
      <c r="V307">
        <v>0</v>
      </c>
      <c r="W307">
        <v>0</v>
      </c>
      <c r="X307">
        <f t="shared" ca="1" si="54"/>
        <v>-303</v>
      </c>
      <c r="Y307">
        <v>0</v>
      </c>
      <c r="Z307">
        <v>0</v>
      </c>
      <c r="AA307">
        <v>0</v>
      </c>
      <c r="AB307" t="s">
        <v>62</v>
      </c>
      <c r="AC307" t="s">
        <v>75</v>
      </c>
      <c r="AD307">
        <v>1</v>
      </c>
      <c r="AE307">
        <v>52</v>
      </c>
      <c r="AF307">
        <v>2257</v>
      </c>
      <c r="AG307" t="s">
        <v>47</v>
      </c>
      <c r="AH307" t="s">
        <v>226</v>
      </c>
      <c r="AI307" t="s">
        <v>227</v>
      </c>
      <c r="AJ307" t="s">
        <v>50</v>
      </c>
      <c r="AK307" t="s">
        <v>51</v>
      </c>
      <c r="AL307">
        <v>3.6726999999999999</v>
      </c>
      <c r="AM307" t="s">
        <v>52</v>
      </c>
      <c r="AN307" t="s">
        <v>58</v>
      </c>
      <c r="AO307" t="s">
        <v>229</v>
      </c>
      <c r="AP307" t="s">
        <v>60</v>
      </c>
      <c r="AQ307" t="s">
        <v>55</v>
      </c>
    </row>
    <row r="308" spans="1:43" x14ac:dyDescent="0.3">
      <c r="A308" t="s">
        <v>43</v>
      </c>
      <c r="B308">
        <v>1999</v>
      </c>
      <c r="C308">
        <v>535</v>
      </c>
      <c r="D308">
        <v>5111</v>
      </c>
      <c r="E308">
        <v>4</v>
      </c>
      <c r="F308">
        <v>202305</v>
      </c>
      <c r="G308">
        <v>1100104</v>
      </c>
      <c r="H308" t="s">
        <v>228</v>
      </c>
      <c r="I308" t="s">
        <v>45</v>
      </c>
      <c r="J308">
        <v>7</v>
      </c>
      <c r="K308">
        <f t="shared" ca="1" si="45"/>
        <v>10</v>
      </c>
      <c r="L308">
        <f t="shared" ca="1" si="46"/>
        <v>-62</v>
      </c>
      <c r="M308">
        <f t="shared" ca="1" si="47"/>
        <v>155</v>
      </c>
      <c r="N308">
        <f t="shared" ca="1" si="47"/>
        <v>389</v>
      </c>
      <c r="O308">
        <f t="shared" ca="1" si="44"/>
        <v>5</v>
      </c>
      <c r="P308">
        <f t="shared" ca="1" si="48"/>
        <v>1259</v>
      </c>
      <c r="Q308">
        <f t="shared" ca="1" si="49"/>
        <v>98</v>
      </c>
      <c r="R308">
        <f t="shared" ca="1" si="50"/>
        <v>489</v>
      </c>
      <c r="S308">
        <f t="shared" ca="1" si="51"/>
        <v>13646</v>
      </c>
      <c r="T308">
        <f t="shared" ca="1" si="52"/>
        <v>170</v>
      </c>
      <c r="U308">
        <f t="shared" ca="1" si="53"/>
        <v>1080</v>
      </c>
      <c r="V308">
        <v>0</v>
      </c>
      <c r="W308">
        <v>0</v>
      </c>
      <c r="X308">
        <f t="shared" ca="1" si="54"/>
        <v>-285</v>
      </c>
      <c r="Y308">
        <v>0</v>
      </c>
      <c r="Z308">
        <v>0</v>
      </c>
      <c r="AA308">
        <v>1</v>
      </c>
      <c r="AB308" t="s">
        <v>65</v>
      </c>
      <c r="AC308" t="s">
        <v>76</v>
      </c>
      <c r="AD308">
        <v>1</v>
      </c>
      <c r="AE308">
        <v>52</v>
      </c>
      <c r="AF308">
        <v>2257</v>
      </c>
      <c r="AG308" t="s">
        <v>47</v>
      </c>
      <c r="AH308" t="s">
        <v>226</v>
      </c>
      <c r="AI308" t="s">
        <v>227</v>
      </c>
      <c r="AJ308" t="s">
        <v>50</v>
      </c>
      <c r="AK308" t="s">
        <v>51</v>
      </c>
      <c r="AL308">
        <v>3.6726999999999999</v>
      </c>
      <c r="AM308" t="s">
        <v>52</v>
      </c>
      <c r="AN308" t="s">
        <v>58</v>
      </c>
      <c r="AO308" t="s">
        <v>229</v>
      </c>
      <c r="AP308" t="s">
        <v>60</v>
      </c>
      <c r="AQ308" t="s">
        <v>55</v>
      </c>
    </row>
    <row r="309" spans="1:43" x14ac:dyDescent="0.3">
      <c r="A309" t="s">
        <v>43</v>
      </c>
      <c r="B309">
        <v>1999</v>
      </c>
      <c r="C309">
        <v>535</v>
      </c>
      <c r="D309">
        <v>5111</v>
      </c>
      <c r="E309">
        <v>4</v>
      </c>
      <c r="F309">
        <v>202305</v>
      </c>
      <c r="G309">
        <v>1101210</v>
      </c>
      <c r="H309" t="s">
        <v>228</v>
      </c>
      <c r="I309" t="s">
        <v>45</v>
      </c>
      <c r="J309">
        <v>7</v>
      </c>
      <c r="K309">
        <f t="shared" ca="1" si="45"/>
        <v>23</v>
      </c>
      <c r="L309">
        <f t="shared" ca="1" si="46"/>
        <v>39</v>
      </c>
      <c r="M309">
        <f t="shared" ca="1" si="47"/>
        <v>322</v>
      </c>
      <c r="N309">
        <f t="shared" ca="1" si="47"/>
        <v>402</v>
      </c>
      <c r="O309">
        <f t="shared" ca="1" si="44"/>
        <v>935</v>
      </c>
      <c r="P309">
        <f t="shared" ca="1" si="48"/>
        <v>142</v>
      </c>
      <c r="Q309">
        <f t="shared" ca="1" si="49"/>
        <v>890</v>
      </c>
      <c r="R309">
        <f t="shared" ca="1" si="50"/>
        <v>84</v>
      </c>
      <c r="S309">
        <f t="shared" ca="1" si="51"/>
        <v>3323</v>
      </c>
      <c r="T309">
        <f t="shared" ca="1" si="52"/>
        <v>1621</v>
      </c>
      <c r="U309">
        <f t="shared" ca="1" si="53"/>
        <v>437</v>
      </c>
      <c r="V309">
        <v>0</v>
      </c>
      <c r="W309">
        <v>0</v>
      </c>
      <c r="X309">
        <f t="shared" ca="1" si="54"/>
        <v>-291</v>
      </c>
      <c r="Y309">
        <v>0</v>
      </c>
      <c r="Z309">
        <v>0</v>
      </c>
      <c r="AA309">
        <v>11</v>
      </c>
      <c r="AB309" t="s">
        <v>65</v>
      </c>
      <c r="AC309" t="s">
        <v>230</v>
      </c>
      <c r="AD309">
        <v>1</v>
      </c>
      <c r="AE309">
        <v>52</v>
      </c>
      <c r="AF309">
        <v>2257</v>
      </c>
      <c r="AG309" t="s">
        <v>47</v>
      </c>
      <c r="AH309" t="s">
        <v>226</v>
      </c>
      <c r="AI309" t="s">
        <v>227</v>
      </c>
      <c r="AJ309" t="s">
        <v>50</v>
      </c>
      <c r="AK309" t="s">
        <v>51</v>
      </c>
      <c r="AL309">
        <v>3.6726999999999999</v>
      </c>
      <c r="AM309" t="s">
        <v>52</v>
      </c>
      <c r="AN309" t="s">
        <v>58</v>
      </c>
      <c r="AO309" t="s">
        <v>229</v>
      </c>
      <c r="AP309" t="s">
        <v>60</v>
      </c>
      <c r="AQ309" t="s">
        <v>55</v>
      </c>
    </row>
    <row r="310" spans="1:43" x14ac:dyDescent="0.3">
      <c r="A310" t="s">
        <v>43</v>
      </c>
      <c r="B310">
        <v>1999</v>
      </c>
      <c r="C310">
        <v>535</v>
      </c>
      <c r="D310">
        <v>5111</v>
      </c>
      <c r="E310">
        <v>5</v>
      </c>
      <c r="F310">
        <v>202305</v>
      </c>
      <c r="G310">
        <v>100001</v>
      </c>
      <c r="H310" t="s">
        <v>66</v>
      </c>
      <c r="I310" t="s">
        <v>45</v>
      </c>
      <c r="J310">
        <v>7</v>
      </c>
      <c r="K310">
        <f t="shared" ca="1" si="45"/>
        <v>83</v>
      </c>
      <c r="L310">
        <f t="shared" ca="1" si="46"/>
        <v>-21</v>
      </c>
      <c r="M310">
        <f t="shared" ca="1" si="47"/>
        <v>158</v>
      </c>
      <c r="N310">
        <f t="shared" ca="1" si="47"/>
        <v>135</v>
      </c>
      <c r="O310">
        <f t="shared" ca="1" si="44"/>
        <v>387</v>
      </c>
      <c r="P310">
        <f t="shared" ca="1" si="48"/>
        <v>-218</v>
      </c>
      <c r="Q310">
        <f t="shared" ca="1" si="49"/>
        <v>130</v>
      </c>
      <c r="R310">
        <f t="shared" ca="1" si="50"/>
        <v>-33</v>
      </c>
      <c r="S310">
        <f t="shared" ca="1" si="51"/>
        <v>3954</v>
      </c>
      <c r="T310">
        <f t="shared" ca="1" si="52"/>
        <v>5086</v>
      </c>
      <c r="U310">
        <f t="shared" ca="1" si="53"/>
        <v>94</v>
      </c>
      <c r="V310">
        <v>0</v>
      </c>
      <c r="W310">
        <v>0</v>
      </c>
      <c r="X310">
        <f t="shared" ca="1" si="54"/>
        <v>-26</v>
      </c>
      <c r="Y310">
        <v>0</v>
      </c>
      <c r="Z310">
        <v>-31</v>
      </c>
      <c r="AA310">
        <v>8</v>
      </c>
      <c r="AB310" t="s">
        <v>57</v>
      </c>
      <c r="AC310" t="s">
        <v>67</v>
      </c>
      <c r="AD310">
        <v>1</v>
      </c>
      <c r="AE310">
        <v>52</v>
      </c>
      <c r="AF310">
        <v>2257</v>
      </c>
      <c r="AG310" t="s">
        <v>47</v>
      </c>
      <c r="AH310" t="s">
        <v>226</v>
      </c>
      <c r="AI310" t="s">
        <v>227</v>
      </c>
      <c r="AJ310" t="s">
        <v>50</v>
      </c>
      <c r="AK310" t="s">
        <v>51</v>
      </c>
      <c r="AL310">
        <v>3.6726999999999999</v>
      </c>
      <c r="AM310" t="s">
        <v>52</v>
      </c>
      <c r="AN310" t="s">
        <v>58</v>
      </c>
      <c r="AO310" t="s">
        <v>68</v>
      </c>
      <c r="AP310" t="s">
        <v>60</v>
      </c>
      <c r="AQ310" t="s">
        <v>55</v>
      </c>
    </row>
    <row r="311" spans="1:43" x14ac:dyDescent="0.3">
      <c r="A311" t="s">
        <v>43</v>
      </c>
      <c r="B311">
        <v>1999</v>
      </c>
      <c r="C311">
        <v>535</v>
      </c>
      <c r="D311">
        <v>5111</v>
      </c>
      <c r="E311">
        <v>5</v>
      </c>
      <c r="F311">
        <v>202305</v>
      </c>
      <c r="G311">
        <v>100002</v>
      </c>
      <c r="H311" t="s">
        <v>66</v>
      </c>
      <c r="I311" t="s">
        <v>45</v>
      </c>
      <c r="J311">
        <v>7</v>
      </c>
      <c r="K311">
        <f t="shared" ca="1" si="45"/>
        <v>51</v>
      </c>
      <c r="L311">
        <f t="shared" ca="1" si="46"/>
        <v>33</v>
      </c>
      <c r="M311">
        <f t="shared" ca="1" si="47"/>
        <v>341</v>
      </c>
      <c r="N311">
        <f t="shared" ca="1" si="47"/>
        <v>125</v>
      </c>
      <c r="O311">
        <f t="shared" ca="1" si="44"/>
        <v>-29</v>
      </c>
      <c r="P311">
        <f t="shared" ca="1" si="48"/>
        <v>-96</v>
      </c>
      <c r="Q311">
        <f t="shared" ca="1" si="49"/>
        <v>840</v>
      </c>
      <c r="R311">
        <f t="shared" ca="1" si="50"/>
        <v>316</v>
      </c>
      <c r="S311">
        <f t="shared" ca="1" si="51"/>
        <v>6642</v>
      </c>
      <c r="T311">
        <f t="shared" ca="1" si="52"/>
        <v>2219</v>
      </c>
      <c r="U311">
        <f t="shared" ca="1" si="53"/>
        <v>879</v>
      </c>
      <c r="V311">
        <v>0</v>
      </c>
      <c r="W311">
        <v>0</v>
      </c>
      <c r="X311">
        <f t="shared" ca="1" si="54"/>
        <v>-189</v>
      </c>
      <c r="Y311">
        <v>0</v>
      </c>
      <c r="Z311">
        <v>0</v>
      </c>
      <c r="AA311">
        <v>57</v>
      </c>
      <c r="AB311" t="s">
        <v>57</v>
      </c>
      <c r="AC311" t="s">
        <v>69</v>
      </c>
      <c r="AD311">
        <v>1</v>
      </c>
      <c r="AE311">
        <v>52</v>
      </c>
      <c r="AF311">
        <v>2257</v>
      </c>
      <c r="AG311" t="s">
        <v>47</v>
      </c>
      <c r="AH311" t="s">
        <v>226</v>
      </c>
      <c r="AI311" t="s">
        <v>227</v>
      </c>
      <c r="AJ311" t="s">
        <v>50</v>
      </c>
      <c r="AK311" t="s">
        <v>51</v>
      </c>
      <c r="AL311">
        <v>3.6726999999999999</v>
      </c>
      <c r="AM311" t="s">
        <v>52</v>
      </c>
      <c r="AN311" t="s">
        <v>58</v>
      </c>
      <c r="AO311" t="s">
        <v>68</v>
      </c>
      <c r="AP311" t="s">
        <v>60</v>
      </c>
      <c r="AQ311" t="s">
        <v>55</v>
      </c>
    </row>
    <row r="312" spans="1:43" x14ac:dyDescent="0.3">
      <c r="A312" t="s">
        <v>43</v>
      </c>
      <c r="B312">
        <v>1999</v>
      </c>
      <c r="C312">
        <v>535</v>
      </c>
      <c r="D312">
        <v>5111</v>
      </c>
      <c r="E312">
        <v>5</v>
      </c>
      <c r="F312">
        <v>202305</v>
      </c>
      <c r="G312">
        <v>100004</v>
      </c>
      <c r="H312" t="s">
        <v>66</v>
      </c>
      <c r="I312" t="s">
        <v>45</v>
      </c>
      <c r="J312">
        <v>7</v>
      </c>
      <c r="K312">
        <f t="shared" ca="1" si="45"/>
        <v>70</v>
      </c>
      <c r="L312">
        <f t="shared" ca="1" si="46"/>
        <v>34</v>
      </c>
      <c r="M312">
        <f t="shared" ca="1" si="47"/>
        <v>452</v>
      </c>
      <c r="N312">
        <f t="shared" ca="1" si="47"/>
        <v>53</v>
      </c>
      <c r="O312">
        <f t="shared" ca="1" si="44"/>
        <v>234</v>
      </c>
      <c r="P312">
        <f t="shared" ca="1" si="48"/>
        <v>527</v>
      </c>
      <c r="Q312">
        <f t="shared" ca="1" si="49"/>
        <v>824</v>
      </c>
      <c r="R312">
        <f t="shared" ca="1" si="50"/>
        <v>168</v>
      </c>
      <c r="S312">
        <f t="shared" ca="1" si="51"/>
        <v>10604</v>
      </c>
      <c r="T312">
        <f t="shared" ca="1" si="52"/>
        <v>7255</v>
      </c>
      <c r="U312">
        <f t="shared" ca="1" si="53"/>
        <v>699</v>
      </c>
      <c r="V312">
        <v>0</v>
      </c>
      <c r="W312">
        <v>0</v>
      </c>
      <c r="X312">
        <f t="shared" ca="1" si="54"/>
        <v>-159</v>
      </c>
      <c r="Y312">
        <v>0</v>
      </c>
      <c r="Z312">
        <v>32</v>
      </c>
      <c r="AA312">
        <v>24</v>
      </c>
      <c r="AB312" t="s">
        <v>57</v>
      </c>
      <c r="AC312" t="s">
        <v>70</v>
      </c>
      <c r="AD312">
        <v>1</v>
      </c>
      <c r="AE312">
        <v>52</v>
      </c>
      <c r="AF312">
        <v>2257</v>
      </c>
      <c r="AG312" t="s">
        <v>47</v>
      </c>
      <c r="AH312" t="s">
        <v>226</v>
      </c>
      <c r="AI312" t="s">
        <v>227</v>
      </c>
      <c r="AJ312" t="s">
        <v>50</v>
      </c>
      <c r="AK312" t="s">
        <v>51</v>
      </c>
      <c r="AL312">
        <v>3.6726999999999999</v>
      </c>
      <c r="AM312" t="s">
        <v>52</v>
      </c>
      <c r="AN312" t="s">
        <v>58</v>
      </c>
      <c r="AO312" t="s">
        <v>68</v>
      </c>
      <c r="AP312" t="s">
        <v>60</v>
      </c>
      <c r="AQ312" t="s">
        <v>55</v>
      </c>
    </row>
    <row r="313" spans="1:43" x14ac:dyDescent="0.3">
      <c r="A313" t="s">
        <v>43</v>
      </c>
      <c r="B313">
        <v>1999</v>
      </c>
      <c r="C313">
        <v>535</v>
      </c>
      <c r="D313">
        <v>5111</v>
      </c>
      <c r="E313">
        <v>5</v>
      </c>
      <c r="F313">
        <v>202305</v>
      </c>
      <c r="G313">
        <v>100005</v>
      </c>
      <c r="H313" t="s">
        <v>66</v>
      </c>
      <c r="I313" t="s">
        <v>45</v>
      </c>
      <c r="J313">
        <v>7</v>
      </c>
      <c r="K313">
        <f t="shared" ca="1" si="45"/>
        <v>71</v>
      </c>
      <c r="L313">
        <f t="shared" ca="1" si="46"/>
        <v>92</v>
      </c>
      <c r="M313">
        <f t="shared" ca="1" si="47"/>
        <v>-7</v>
      </c>
      <c r="N313">
        <f t="shared" ca="1" si="47"/>
        <v>132</v>
      </c>
      <c r="O313">
        <f t="shared" ca="1" si="44"/>
        <v>25</v>
      </c>
      <c r="P313">
        <f t="shared" ca="1" si="48"/>
        <v>113</v>
      </c>
      <c r="Q313">
        <f t="shared" ca="1" si="49"/>
        <v>650</v>
      </c>
      <c r="R313">
        <f t="shared" ca="1" si="50"/>
        <v>82</v>
      </c>
      <c r="S313">
        <f t="shared" ca="1" si="51"/>
        <v>7837</v>
      </c>
      <c r="T313">
        <f t="shared" ca="1" si="52"/>
        <v>8395</v>
      </c>
      <c r="U313">
        <f t="shared" ca="1" si="53"/>
        <v>832</v>
      </c>
      <c r="V313">
        <v>0</v>
      </c>
      <c r="W313">
        <v>0</v>
      </c>
      <c r="X313">
        <f t="shared" ca="1" si="54"/>
        <v>-281</v>
      </c>
      <c r="Y313">
        <v>0</v>
      </c>
      <c r="Z313">
        <v>0</v>
      </c>
      <c r="AA313">
        <v>0</v>
      </c>
      <c r="AB313" t="s">
        <v>57</v>
      </c>
      <c r="AC313" t="s">
        <v>224</v>
      </c>
      <c r="AD313">
        <v>1</v>
      </c>
      <c r="AE313">
        <v>52</v>
      </c>
      <c r="AF313">
        <v>2257</v>
      </c>
      <c r="AG313" t="s">
        <v>47</v>
      </c>
      <c r="AH313" t="s">
        <v>226</v>
      </c>
      <c r="AI313" t="s">
        <v>227</v>
      </c>
      <c r="AJ313" t="s">
        <v>50</v>
      </c>
      <c r="AK313" t="s">
        <v>51</v>
      </c>
      <c r="AL313">
        <v>3.6726999999999999</v>
      </c>
      <c r="AM313" t="s">
        <v>52</v>
      </c>
      <c r="AN313" t="s">
        <v>58</v>
      </c>
      <c r="AO313" t="s">
        <v>68</v>
      </c>
      <c r="AP313" t="s">
        <v>60</v>
      </c>
      <c r="AQ313" t="s">
        <v>55</v>
      </c>
    </row>
    <row r="314" spans="1:43" x14ac:dyDescent="0.3">
      <c r="A314" t="s">
        <v>43</v>
      </c>
      <c r="B314">
        <v>1999</v>
      </c>
      <c r="C314">
        <v>535</v>
      </c>
      <c r="D314">
        <v>5111</v>
      </c>
      <c r="E314">
        <v>5</v>
      </c>
      <c r="F314">
        <v>202305</v>
      </c>
      <c r="G314">
        <v>200011</v>
      </c>
      <c r="H314" t="s">
        <v>66</v>
      </c>
      <c r="I314" t="s">
        <v>45</v>
      </c>
      <c r="J314">
        <v>7</v>
      </c>
      <c r="K314">
        <f t="shared" ca="1" si="45"/>
        <v>27</v>
      </c>
      <c r="L314">
        <f t="shared" ca="1" si="46"/>
        <v>-37</v>
      </c>
      <c r="M314">
        <f t="shared" ca="1" si="47"/>
        <v>473</v>
      </c>
      <c r="N314">
        <f t="shared" ca="1" si="47"/>
        <v>104</v>
      </c>
      <c r="O314">
        <f t="shared" ca="1" si="44"/>
        <v>436</v>
      </c>
      <c r="P314">
        <f t="shared" ca="1" si="48"/>
        <v>1265</v>
      </c>
      <c r="Q314">
        <f t="shared" ca="1" si="49"/>
        <v>680</v>
      </c>
      <c r="R314">
        <f t="shared" ca="1" si="50"/>
        <v>192</v>
      </c>
      <c r="S314">
        <f t="shared" ca="1" si="51"/>
        <v>2691</v>
      </c>
      <c r="T314">
        <f t="shared" ca="1" si="52"/>
        <v>1588</v>
      </c>
      <c r="U314">
        <f t="shared" ca="1" si="53"/>
        <v>989</v>
      </c>
      <c r="V314">
        <v>0</v>
      </c>
      <c r="W314">
        <v>0</v>
      </c>
      <c r="X314">
        <f t="shared" ca="1" si="54"/>
        <v>51</v>
      </c>
      <c r="Y314">
        <v>0</v>
      </c>
      <c r="Z314">
        <v>3</v>
      </c>
      <c r="AA314">
        <v>100</v>
      </c>
      <c r="AB314" t="s">
        <v>61</v>
      </c>
      <c r="AC314" t="s">
        <v>72</v>
      </c>
      <c r="AD314">
        <v>1</v>
      </c>
      <c r="AE314">
        <v>52</v>
      </c>
      <c r="AF314">
        <v>2257</v>
      </c>
      <c r="AG314" t="s">
        <v>47</v>
      </c>
      <c r="AH314" t="s">
        <v>226</v>
      </c>
      <c r="AI314" t="s">
        <v>227</v>
      </c>
      <c r="AJ314" t="s">
        <v>50</v>
      </c>
      <c r="AK314" t="s">
        <v>51</v>
      </c>
      <c r="AL314">
        <v>3.6726999999999999</v>
      </c>
      <c r="AM314" t="s">
        <v>52</v>
      </c>
      <c r="AN314" t="s">
        <v>58</v>
      </c>
      <c r="AO314" t="s">
        <v>68</v>
      </c>
      <c r="AP314" t="s">
        <v>60</v>
      </c>
      <c r="AQ314" t="s">
        <v>55</v>
      </c>
    </row>
    <row r="315" spans="1:43" x14ac:dyDescent="0.3">
      <c r="A315" t="s">
        <v>43</v>
      </c>
      <c r="B315">
        <v>1999</v>
      </c>
      <c r="C315">
        <v>535</v>
      </c>
      <c r="D315">
        <v>5111</v>
      </c>
      <c r="E315">
        <v>5</v>
      </c>
      <c r="F315">
        <v>202305</v>
      </c>
      <c r="G315">
        <v>200012</v>
      </c>
      <c r="H315" t="s">
        <v>66</v>
      </c>
      <c r="I315" t="s">
        <v>45</v>
      </c>
      <c r="J315">
        <v>7</v>
      </c>
      <c r="K315">
        <f t="shared" ca="1" si="45"/>
        <v>28</v>
      </c>
      <c r="L315">
        <f t="shared" ca="1" si="46"/>
        <v>-77</v>
      </c>
      <c r="M315">
        <f t="shared" ca="1" si="47"/>
        <v>-68</v>
      </c>
      <c r="N315">
        <f t="shared" ca="1" si="47"/>
        <v>452</v>
      </c>
      <c r="O315">
        <f t="shared" ca="1" si="44"/>
        <v>93</v>
      </c>
      <c r="P315">
        <f t="shared" ca="1" si="48"/>
        <v>1454</v>
      </c>
      <c r="Q315">
        <f t="shared" ca="1" si="49"/>
        <v>54</v>
      </c>
      <c r="R315">
        <f t="shared" ca="1" si="50"/>
        <v>-64</v>
      </c>
      <c r="S315">
        <f t="shared" ca="1" si="51"/>
        <v>9882</v>
      </c>
      <c r="T315">
        <f t="shared" ca="1" si="52"/>
        <v>4256</v>
      </c>
      <c r="U315">
        <f t="shared" ca="1" si="53"/>
        <v>1139</v>
      </c>
      <c r="V315">
        <v>0</v>
      </c>
      <c r="W315">
        <v>0</v>
      </c>
      <c r="X315">
        <f t="shared" ca="1" si="54"/>
        <v>85</v>
      </c>
      <c r="Y315">
        <v>0</v>
      </c>
      <c r="Z315">
        <v>-4</v>
      </c>
      <c r="AA315">
        <v>0</v>
      </c>
      <c r="AB315" t="s">
        <v>61</v>
      </c>
      <c r="AC315" t="s">
        <v>73</v>
      </c>
      <c r="AD315">
        <v>1</v>
      </c>
      <c r="AE315">
        <v>52</v>
      </c>
      <c r="AF315">
        <v>2257</v>
      </c>
      <c r="AG315" t="s">
        <v>47</v>
      </c>
      <c r="AH315" t="s">
        <v>226</v>
      </c>
      <c r="AI315" t="s">
        <v>227</v>
      </c>
      <c r="AJ315" t="s">
        <v>50</v>
      </c>
      <c r="AK315" t="s">
        <v>51</v>
      </c>
      <c r="AL315">
        <v>3.6726999999999999</v>
      </c>
      <c r="AM315" t="s">
        <v>52</v>
      </c>
      <c r="AN315" t="s">
        <v>58</v>
      </c>
      <c r="AO315" t="s">
        <v>68</v>
      </c>
      <c r="AP315" t="s">
        <v>60</v>
      </c>
      <c r="AQ315" t="s">
        <v>55</v>
      </c>
    </row>
    <row r="316" spans="1:43" x14ac:dyDescent="0.3">
      <c r="A316" t="s">
        <v>43</v>
      </c>
      <c r="B316">
        <v>1999</v>
      </c>
      <c r="C316">
        <v>535</v>
      </c>
      <c r="D316">
        <v>5111</v>
      </c>
      <c r="E316">
        <v>5</v>
      </c>
      <c r="F316">
        <v>202305</v>
      </c>
      <c r="G316">
        <v>200017</v>
      </c>
      <c r="H316" t="s">
        <v>66</v>
      </c>
      <c r="I316" t="s">
        <v>45</v>
      </c>
      <c r="J316">
        <v>7</v>
      </c>
      <c r="K316">
        <f t="shared" ca="1" si="45"/>
        <v>66</v>
      </c>
      <c r="L316">
        <f t="shared" ca="1" si="46"/>
        <v>-28</v>
      </c>
      <c r="M316">
        <f t="shared" ca="1" si="47"/>
        <v>-47</v>
      </c>
      <c r="N316">
        <f t="shared" ca="1" si="47"/>
        <v>305</v>
      </c>
      <c r="O316">
        <f t="shared" ca="1" si="44"/>
        <v>188</v>
      </c>
      <c r="P316">
        <f t="shared" ca="1" si="48"/>
        <v>36</v>
      </c>
      <c r="Q316">
        <f t="shared" ca="1" si="49"/>
        <v>104</v>
      </c>
      <c r="R316">
        <f t="shared" ca="1" si="50"/>
        <v>36</v>
      </c>
      <c r="S316">
        <f t="shared" ca="1" si="51"/>
        <v>2440</v>
      </c>
      <c r="T316">
        <f t="shared" ca="1" si="52"/>
        <v>1071</v>
      </c>
      <c r="U316">
        <f t="shared" ca="1" si="53"/>
        <v>858</v>
      </c>
      <c r="V316">
        <v>0</v>
      </c>
      <c r="W316">
        <v>0</v>
      </c>
      <c r="X316">
        <f t="shared" ca="1" si="54"/>
        <v>-424</v>
      </c>
      <c r="Y316">
        <v>0</v>
      </c>
      <c r="Z316">
        <v>0</v>
      </c>
      <c r="AA316">
        <v>0</v>
      </c>
      <c r="AB316" t="s">
        <v>61</v>
      </c>
      <c r="AC316" t="s">
        <v>74</v>
      </c>
      <c r="AD316">
        <v>1</v>
      </c>
      <c r="AE316">
        <v>52</v>
      </c>
      <c r="AF316">
        <v>2257</v>
      </c>
      <c r="AG316" t="s">
        <v>47</v>
      </c>
      <c r="AH316" t="s">
        <v>226</v>
      </c>
      <c r="AI316" t="s">
        <v>227</v>
      </c>
      <c r="AJ316" t="s">
        <v>50</v>
      </c>
      <c r="AK316" t="s">
        <v>51</v>
      </c>
      <c r="AL316">
        <v>3.6726999999999999</v>
      </c>
      <c r="AM316" t="s">
        <v>52</v>
      </c>
      <c r="AN316" t="s">
        <v>58</v>
      </c>
      <c r="AO316" t="s">
        <v>68</v>
      </c>
      <c r="AP316" t="s">
        <v>60</v>
      </c>
      <c r="AQ316" t="s">
        <v>55</v>
      </c>
    </row>
    <row r="317" spans="1:43" x14ac:dyDescent="0.3">
      <c r="A317" t="s">
        <v>43</v>
      </c>
      <c r="B317">
        <v>1999</v>
      </c>
      <c r="C317">
        <v>535</v>
      </c>
      <c r="D317">
        <v>5111</v>
      </c>
      <c r="E317">
        <v>5</v>
      </c>
      <c r="F317">
        <v>202305</v>
      </c>
      <c r="G317">
        <v>300021</v>
      </c>
      <c r="H317" t="s">
        <v>66</v>
      </c>
      <c r="I317" t="s">
        <v>45</v>
      </c>
      <c r="J317">
        <v>7</v>
      </c>
      <c r="K317">
        <f t="shared" ca="1" si="45"/>
        <v>79</v>
      </c>
      <c r="L317">
        <f t="shared" ca="1" si="46"/>
        <v>43</v>
      </c>
      <c r="M317">
        <f t="shared" ca="1" si="47"/>
        <v>377</v>
      </c>
      <c r="N317">
        <f t="shared" ca="1" si="47"/>
        <v>147</v>
      </c>
      <c r="O317">
        <f t="shared" ca="1" si="44"/>
        <v>-16</v>
      </c>
      <c r="P317">
        <f t="shared" ca="1" si="48"/>
        <v>-276</v>
      </c>
      <c r="Q317">
        <f t="shared" ca="1" si="49"/>
        <v>1117</v>
      </c>
      <c r="R317">
        <f t="shared" ca="1" si="50"/>
        <v>44</v>
      </c>
      <c r="S317">
        <f t="shared" ca="1" si="51"/>
        <v>12876</v>
      </c>
      <c r="T317">
        <f t="shared" ca="1" si="52"/>
        <v>1982</v>
      </c>
      <c r="U317">
        <f t="shared" ca="1" si="53"/>
        <v>1121</v>
      </c>
      <c r="V317">
        <v>0</v>
      </c>
      <c r="W317">
        <v>0</v>
      </c>
      <c r="X317">
        <f t="shared" ca="1" si="54"/>
        <v>-183</v>
      </c>
      <c r="Y317">
        <v>0</v>
      </c>
      <c r="Z317">
        <v>0</v>
      </c>
      <c r="AA317">
        <v>27</v>
      </c>
      <c r="AB317" t="s">
        <v>62</v>
      </c>
      <c r="AC317" t="s">
        <v>75</v>
      </c>
      <c r="AD317">
        <v>1</v>
      </c>
      <c r="AE317">
        <v>52</v>
      </c>
      <c r="AF317">
        <v>2257</v>
      </c>
      <c r="AG317" t="s">
        <v>47</v>
      </c>
      <c r="AH317" t="s">
        <v>226</v>
      </c>
      <c r="AI317" t="s">
        <v>227</v>
      </c>
      <c r="AJ317" t="s">
        <v>50</v>
      </c>
      <c r="AK317" t="s">
        <v>51</v>
      </c>
      <c r="AL317">
        <v>3.6726999999999999</v>
      </c>
      <c r="AM317" t="s">
        <v>52</v>
      </c>
      <c r="AN317" t="s">
        <v>58</v>
      </c>
      <c r="AO317" t="s">
        <v>68</v>
      </c>
      <c r="AP317" t="s">
        <v>60</v>
      </c>
      <c r="AQ317" t="s">
        <v>55</v>
      </c>
    </row>
    <row r="318" spans="1:43" x14ac:dyDescent="0.3">
      <c r="A318" t="s">
        <v>43</v>
      </c>
      <c r="B318">
        <v>1999</v>
      </c>
      <c r="C318">
        <v>535</v>
      </c>
      <c r="D318">
        <v>5111</v>
      </c>
      <c r="E318">
        <v>5</v>
      </c>
      <c r="F318">
        <v>202305</v>
      </c>
      <c r="G318">
        <v>1100104</v>
      </c>
      <c r="H318" t="s">
        <v>66</v>
      </c>
      <c r="I318" t="s">
        <v>45</v>
      </c>
      <c r="J318">
        <v>7</v>
      </c>
      <c r="K318">
        <f t="shared" ca="1" si="45"/>
        <v>35</v>
      </c>
      <c r="L318">
        <f t="shared" ca="1" si="46"/>
        <v>7</v>
      </c>
      <c r="M318">
        <f t="shared" ca="1" si="47"/>
        <v>203</v>
      </c>
      <c r="N318">
        <f t="shared" ca="1" si="47"/>
        <v>-12</v>
      </c>
      <c r="O318">
        <f t="shared" ca="1" si="44"/>
        <v>641</v>
      </c>
      <c r="P318">
        <f t="shared" ca="1" si="48"/>
        <v>-286</v>
      </c>
      <c r="Q318">
        <f t="shared" ca="1" si="49"/>
        <v>869</v>
      </c>
      <c r="R318">
        <f t="shared" ca="1" si="50"/>
        <v>72</v>
      </c>
      <c r="S318">
        <f t="shared" ca="1" si="51"/>
        <v>14049</v>
      </c>
      <c r="T318">
        <f t="shared" ca="1" si="52"/>
        <v>6076</v>
      </c>
      <c r="U318">
        <f t="shared" ca="1" si="53"/>
        <v>508</v>
      </c>
      <c r="V318">
        <v>0</v>
      </c>
      <c r="W318">
        <v>0</v>
      </c>
      <c r="X318">
        <f t="shared" ca="1" si="54"/>
        <v>50</v>
      </c>
      <c r="Y318">
        <v>0</v>
      </c>
      <c r="Z318">
        <v>0</v>
      </c>
      <c r="AA318">
        <v>11</v>
      </c>
      <c r="AB318" t="s">
        <v>65</v>
      </c>
      <c r="AC318" t="s">
        <v>76</v>
      </c>
      <c r="AD318">
        <v>1</v>
      </c>
      <c r="AE318">
        <v>52</v>
      </c>
      <c r="AF318">
        <v>2257</v>
      </c>
      <c r="AG318" t="s">
        <v>47</v>
      </c>
      <c r="AH318" t="s">
        <v>226</v>
      </c>
      <c r="AI318" t="s">
        <v>227</v>
      </c>
      <c r="AJ318" t="s">
        <v>50</v>
      </c>
      <c r="AK318" t="s">
        <v>51</v>
      </c>
      <c r="AL318">
        <v>3.6726999999999999</v>
      </c>
      <c r="AM318" t="s">
        <v>52</v>
      </c>
      <c r="AN318" t="s">
        <v>58</v>
      </c>
      <c r="AO318" t="s">
        <v>68</v>
      </c>
      <c r="AP318" t="s">
        <v>60</v>
      </c>
      <c r="AQ318" t="s">
        <v>55</v>
      </c>
    </row>
    <row r="319" spans="1:43" x14ac:dyDescent="0.3">
      <c r="A319" t="s">
        <v>43</v>
      </c>
      <c r="B319">
        <v>1999</v>
      </c>
      <c r="C319">
        <v>535</v>
      </c>
      <c r="D319">
        <v>5111</v>
      </c>
      <c r="E319">
        <v>5</v>
      </c>
      <c r="F319">
        <v>202305</v>
      </c>
      <c r="G319">
        <v>1101210</v>
      </c>
      <c r="H319" t="s">
        <v>66</v>
      </c>
      <c r="I319" t="s">
        <v>45</v>
      </c>
      <c r="J319">
        <v>7</v>
      </c>
      <c r="K319">
        <f t="shared" ca="1" si="45"/>
        <v>35</v>
      </c>
      <c r="L319">
        <f t="shared" ca="1" si="46"/>
        <v>31</v>
      </c>
      <c r="M319">
        <f t="shared" ca="1" si="47"/>
        <v>18</v>
      </c>
      <c r="N319">
        <f t="shared" ca="1" si="47"/>
        <v>250</v>
      </c>
      <c r="O319">
        <f t="shared" ca="1" si="44"/>
        <v>124</v>
      </c>
      <c r="P319">
        <f t="shared" ca="1" si="48"/>
        <v>581</v>
      </c>
      <c r="Q319">
        <f t="shared" ca="1" si="49"/>
        <v>1002</v>
      </c>
      <c r="R319">
        <f t="shared" ca="1" si="50"/>
        <v>399</v>
      </c>
      <c r="S319">
        <f t="shared" ca="1" si="51"/>
        <v>6560</v>
      </c>
      <c r="T319">
        <f t="shared" ca="1" si="52"/>
        <v>6229</v>
      </c>
      <c r="U319">
        <f t="shared" ca="1" si="53"/>
        <v>112</v>
      </c>
      <c r="V319">
        <v>0</v>
      </c>
      <c r="W319">
        <v>0</v>
      </c>
      <c r="X319">
        <f t="shared" ca="1" si="54"/>
        <v>-462</v>
      </c>
      <c r="Y319">
        <v>0</v>
      </c>
      <c r="Z319">
        <v>0</v>
      </c>
      <c r="AA319">
        <v>0</v>
      </c>
      <c r="AB319" t="s">
        <v>65</v>
      </c>
      <c r="AC319" t="s">
        <v>230</v>
      </c>
      <c r="AD319">
        <v>1</v>
      </c>
      <c r="AE319">
        <v>52</v>
      </c>
      <c r="AF319">
        <v>2257</v>
      </c>
      <c r="AG319" t="s">
        <v>47</v>
      </c>
      <c r="AH319" t="s">
        <v>226</v>
      </c>
      <c r="AI319" t="s">
        <v>227</v>
      </c>
      <c r="AJ319" t="s">
        <v>50</v>
      </c>
      <c r="AK319" t="s">
        <v>51</v>
      </c>
      <c r="AL319">
        <v>3.6726999999999999</v>
      </c>
      <c r="AM319" t="s">
        <v>52</v>
      </c>
      <c r="AN319" t="s">
        <v>58</v>
      </c>
      <c r="AO319" t="s">
        <v>68</v>
      </c>
      <c r="AP319" t="s">
        <v>60</v>
      </c>
      <c r="AQ319" t="s">
        <v>55</v>
      </c>
    </row>
    <row r="320" spans="1:43" x14ac:dyDescent="0.3">
      <c r="A320" t="s">
        <v>43</v>
      </c>
      <c r="B320">
        <v>1999</v>
      </c>
      <c r="C320">
        <v>535</v>
      </c>
      <c r="D320">
        <v>5111</v>
      </c>
      <c r="E320">
        <v>13</v>
      </c>
      <c r="F320">
        <v>202305</v>
      </c>
      <c r="G320">
        <v>100001</v>
      </c>
      <c r="H320" t="s">
        <v>231</v>
      </c>
      <c r="I320" t="s">
        <v>45</v>
      </c>
      <c r="J320">
        <v>7</v>
      </c>
      <c r="K320">
        <f t="shared" ca="1" si="45"/>
        <v>50</v>
      </c>
      <c r="L320">
        <f t="shared" ca="1" si="46"/>
        <v>-42</v>
      </c>
      <c r="M320">
        <f t="shared" ca="1" si="47"/>
        <v>-15</v>
      </c>
      <c r="N320">
        <f t="shared" ca="1" si="47"/>
        <v>257</v>
      </c>
      <c r="O320">
        <f t="shared" ca="1" si="44"/>
        <v>13</v>
      </c>
      <c r="P320">
        <f t="shared" ca="1" si="48"/>
        <v>312</v>
      </c>
      <c r="Q320">
        <f t="shared" ca="1" si="49"/>
        <v>1071</v>
      </c>
      <c r="R320">
        <f t="shared" ca="1" si="50"/>
        <v>479</v>
      </c>
      <c r="S320">
        <f t="shared" ca="1" si="51"/>
        <v>4340</v>
      </c>
      <c r="T320">
        <f t="shared" ca="1" si="52"/>
        <v>3947</v>
      </c>
      <c r="U320">
        <f t="shared" ca="1" si="53"/>
        <v>469</v>
      </c>
      <c r="V320">
        <v>0</v>
      </c>
      <c r="W320">
        <v>0</v>
      </c>
      <c r="X320">
        <f t="shared" ca="1" si="54"/>
        <v>-480</v>
      </c>
      <c r="Y320">
        <v>0</v>
      </c>
      <c r="Z320">
        <v>0</v>
      </c>
      <c r="AA320">
        <v>0</v>
      </c>
      <c r="AB320" t="s">
        <v>57</v>
      </c>
      <c r="AC320" t="s">
        <v>67</v>
      </c>
      <c r="AD320">
        <v>1</v>
      </c>
      <c r="AE320">
        <v>52</v>
      </c>
      <c r="AF320">
        <v>2257</v>
      </c>
      <c r="AG320" t="s">
        <v>47</v>
      </c>
      <c r="AH320" t="s">
        <v>226</v>
      </c>
      <c r="AI320" t="s">
        <v>227</v>
      </c>
      <c r="AJ320" t="s">
        <v>50</v>
      </c>
      <c r="AK320" t="s">
        <v>51</v>
      </c>
      <c r="AL320">
        <v>3.6726999999999999</v>
      </c>
      <c r="AM320" t="s">
        <v>52</v>
      </c>
      <c r="AN320" t="s">
        <v>58</v>
      </c>
      <c r="AO320" t="s">
        <v>232</v>
      </c>
      <c r="AP320" t="s">
        <v>60</v>
      </c>
      <c r="AQ320" t="s">
        <v>55</v>
      </c>
    </row>
    <row r="321" spans="1:43" x14ac:dyDescent="0.3">
      <c r="A321" t="s">
        <v>43</v>
      </c>
      <c r="B321">
        <v>1999</v>
      </c>
      <c r="C321">
        <v>535</v>
      </c>
      <c r="D321">
        <v>5111</v>
      </c>
      <c r="E321">
        <v>13</v>
      </c>
      <c r="F321">
        <v>202305</v>
      </c>
      <c r="G321">
        <v>100002</v>
      </c>
      <c r="H321" t="s">
        <v>231</v>
      </c>
      <c r="I321" t="s">
        <v>45</v>
      </c>
      <c r="J321">
        <v>7</v>
      </c>
      <c r="K321">
        <f t="shared" ca="1" si="45"/>
        <v>72</v>
      </c>
      <c r="L321">
        <f t="shared" ca="1" si="46"/>
        <v>-2</v>
      </c>
      <c r="M321">
        <f t="shared" ca="1" si="47"/>
        <v>220</v>
      </c>
      <c r="N321">
        <f t="shared" ca="1" si="47"/>
        <v>226</v>
      </c>
      <c r="O321">
        <f t="shared" ca="1" si="44"/>
        <v>799</v>
      </c>
      <c r="P321">
        <f t="shared" ca="1" si="48"/>
        <v>595</v>
      </c>
      <c r="Q321">
        <f t="shared" ca="1" si="49"/>
        <v>1087</v>
      </c>
      <c r="R321">
        <f t="shared" ca="1" si="50"/>
        <v>129</v>
      </c>
      <c r="S321">
        <f t="shared" ca="1" si="51"/>
        <v>6381</v>
      </c>
      <c r="T321">
        <f t="shared" ca="1" si="52"/>
        <v>1996</v>
      </c>
      <c r="U321">
        <f t="shared" ca="1" si="53"/>
        <v>1256</v>
      </c>
      <c r="V321">
        <v>0</v>
      </c>
      <c r="W321">
        <v>0</v>
      </c>
      <c r="X321">
        <f t="shared" ca="1" si="54"/>
        <v>-50</v>
      </c>
      <c r="Y321">
        <v>0</v>
      </c>
      <c r="Z321">
        <v>0</v>
      </c>
      <c r="AA321">
        <v>0</v>
      </c>
      <c r="AB321" t="s">
        <v>57</v>
      </c>
      <c r="AC321" t="s">
        <v>69</v>
      </c>
      <c r="AD321">
        <v>1</v>
      </c>
      <c r="AE321">
        <v>52</v>
      </c>
      <c r="AF321">
        <v>2257</v>
      </c>
      <c r="AG321" t="s">
        <v>47</v>
      </c>
      <c r="AH321" t="s">
        <v>226</v>
      </c>
      <c r="AI321" t="s">
        <v>227</v>
      </c>
      <c r="AJ321" t="s">
        <v>50</v>
      </c>
      <c r="AK321" t="s">
        <v>51</v>
      </c>
      <c r="AL321">
        <v>3.6726999999999999</v>
      </c>
      <c r="AM321" t="s">
        <v>52</v>
      </c>
      <c r="AN321" t="s">
        <v>58</v>
      </c>
      <c r="AO321" t="s">
        <v>232</v>
      </c>
      <c r="AP321" t="s">
        <v>60</v>
      </c>
      <c r="AQ321" t="s">
        <v>55</v>
      </c>
    </row>
    <row r="322" spans="1:43" x14ac:dyDescent="0.3">
      <c r="A322" t="s">
        <v>43</v>
      </c>
      <c r="B322">
        <v>1999</v>
      </c>
      <c r="C322">
        <v>535</v>
      </c>
      <c r="D322">
        <v>5111</v>
      </c>
      <c r="E322">
        <v>13</v>
      </c>
      <c r="F322">
        <v>202305</v>
      </c>
      <c r="G322">
        <v>200011</v>
      </c>
      <c r="H322" t="s">
        <v>231</v>
      </c>
      <c r="I322" t="s">
        <v>45</v>
      </c>
      <c r="J322">
        <v>7</v>
      </c>
      <c r="K322">
        <f t="shared" ca="1" si="45"/>
        <v>6</v>
      </c>
      <c r="L322">
        <f t="shared" ca="1" si="46"/>
        <v>-49</v>
      </c>
      <c r="M322">
        <f t="shared" ca="1" si="47"/>
        <v>462</v>
      </c>
      <c r="N322">
        <f t="shared" ca="1" si="47"/>
        <v>-63</v>
      </c>
      <c r="O322">
        <f t="shared" ref="O322:O385" ca="1" si="55">RANDBETWEEN(-100, 1000)</f>
        <v>141</v>
      </c>
      <c r="P322">
        <f t="shared" ca="1" si="48"/>
        <v>-169</v>
      </c>
      <c r="Q322">
        <f t="shared" ca="1" si="49"/>
        <v>1020</v>
      </c>
      <c r="R322">
        <f t="shared" ca="1" si="50"/>
        <v>91</v>
      </c>
      <c r="S322">
        <f t="shared" ca="1" si="51"/>
        <v>13083</v>
      </c>
      <c r="T322">
        <f t="shared" ca="1" si="52"/>
        <v>4506</v>
      </c>
      <c r="U322">
        <f t="shared" ca="1" si="53"/>
        <v>821</v>
      </c>
      <c r="V322">
        <v>0</v>
      </c>
      <c r="W322">
        <v>0</v>
      </c>
      <c r="X322">
        <f t="shared" ca="1" si="54"/>
        <v>50</v>
      </c>
      <c r="Y322">
        <v>0</v>
      </c>
      <c r="Z322">
        <v>0</v>
      </c>
      <c r="AA322">
        <v>0</v>
      </c>
      <c r="AB322" t="s">
        <v>61</v>
      </c>
      <c r="AC322" t="s">
        <v>72</v>
      </c>
      <c r="AD322">
        <v>1</v>
      </c>
      <c r="AE322">
        <v>52</v>
      </c>
      <c r="AF322">
        <v>2257</v>
      </c>
      <c r="AG322" t="s">
        <v>47</v>
      </c>
      <c r="AH322" t="s">
        <v>226</v>
      </c>
      <c r="AI322" t="s">
        <v>227</v>
      </c>
      <c r="AJ322" t="s">
        <v>50</v>
      </c>
      <c r="AK322" t="s">
        <v>51</v>
      </c>
      <c r="AL322">
        <v>3.6726999999999999</v>
      </c>
      <c r="AM322" t="s">
        <v>52</v>
      </c>
      <c r="AN322" t="s">
        <v>58</v>
      </c>
      <c r="AO322" t="s">
        <v>232</v>
      </c>
      <c r="AP322" t="s">
        <v>60</v>
      </c>
      <c r="AQ322" t="s">
        <v>55</v>
      </c>
    </row>
    <row r="323" spans="1:43" x14ac:dyDescent="0.3">
      <c r="A323" t="s">
        <v>43</v>
      </c>
      <c r="B323">
        <v>1999</v>
      </c>
      <c r="C323">
        <v>535</v>
      </c>
      <c r="D323">
        <v>5111</v>
      </c>
      <c r="E323">
        <v>13</v>
      </c>
      <c r="F323">
        <v>202305</v>
      </c>
      <c r="G323">
        <v>200012</v>
      </c>
      <c r="H323" t="s">
        <v>231</v>
      </c>
      <c r="I323" t="s">
        <v>45</v>
      </c>
      <c r="J323">
        <v>7</v>
      </c>
      <c r="K323">
        <f t="shared" ref="K323:K386" ca="1" si="56">RANDBETWEEN(0, 100)</f>
        <v>74</v>
      </c>
      <c r="L323">
        <f t="shared" ref="L323:L386" ca="1" si="57">RANDBETWEEN(-100, 100)</f>
        <v>81</v>
      </c>
      <c r="M323">
        <f t="shared" ref="M323:N386" ca="1" si="58">RANDBETWEEN(-100, 500)</f>
        <v>185</v>
      </c>
      <c r="N323">
        <f t="shared" ca="1" si="58"/>
        <v>251</v>
      </c>
      <c r="O323">
        <f t="shared" ca="1" si="55"/>
        <v>473</v>
      </c>
      <c r="P323">
        <f t="shared" ref="P323:P386" ca="1" si="59">RANDBETWEEN(-500, 1500)</f>
        <v>762</v>
      </c>
      <c r="Q323">
        <f t="shared" ref="Q323:Q386" ca="1" si="60">RANDBETWEEN(0,1200)</f>
        <v>746</v>
      </c>
      <c r="R323">
        <f t="shared" ref="R323:R386" ca="1" si="61">RANDBETWEEN(-100, 500)</f>
        <v>64</v>
      </c>
      <c r="S323">
        <f t="shared" ref="S323:S386" ca="1" si="62">RANDBETWEEN(-100, 15000)</f>
        <v>12301</v>
      </c>
      <c r="T323">
        <f t="shared" ref="T323:T386" ca="1" si="63">RANDBETWEEN(-100, 10000)</f>
        <v>6096</v>
      </c>
      <c r="U323">
        <f t="shared" ref="U323:U386" ca="1" si="64">RANDBETWEEN(-100, 1300)</f>
        <v>71</v>
      </c>
      <c r="V323">
        <v>0</v>
      </c>
      <c r="W323">
        <v>0</v>
      </c>
      <c r="X323">
        <f t="shared" ref="X323:X386" ca="1" si="65">RANDBETWEEN(-500, 100)</f>
        <v>-313</v>
      </c>
      <c r="Y323">
        <v>0</v>
      </c>
      <c r="Z323">
        <v>0</v>
      </c>
      <c r="AA323">
        <v>0</v>
      </c>
      <c r="AB323" t="s">
        <v>61</v>
      </c>
      <c r="AC323" t="s">
        <v>73</v>
      </c>
      <c r="AD323">
        <v>1</v>
      </c>
      <c r="AE323">
        <v>52</v>
      </c>
      <c r="AF323">
        <v>2257</v>
      </c>
      <c r="AG323" t="s">
        <v>47</v>
      </c>
      <c r="AH323" t="s">
        <v>226</v>
      </c>
      <c r="AI323" t="s">
        <v>227</v>
      </c>
      <c r="AJ323" t="s">
        <v>50</v>
      </c>
      <c r="AK323" t="s">
        <v>51</v>
      </c>
      <c r="AL323">
        <v>3.6726999999999999</v>
      </c>
      <c r="AM323" t="s">
        <v>52</v>
      </c>
      <c r="AN323" t="s">
        <v>58</v>
      </c>
      <c r="AO323" t="s">
        <v>232</v>
      </c>
      <c r="AP323" t="s">
        <v>60</v>
      </c>
      <c r="AQ323" t="s">
        <v>55</v>
      </c>
    </row>
    <row r="324" spans="1:43" x14ac:dyDescent="0.3">
      <c r="A324" t="s">
        <v>43</v>
      </c>
      <c r="B324">
        <v>1999</v>
      </c>
      <c r="C324">
        <v>535</v>
      </c>
      <c r="D324">
        <v>5111</v>
      </c>
      <c r="E324">
        <v>13</v>
      </c>
      <c r="F324">
        <v>202305</v>
      </c>
      <c r="G324">
        <v>300021</v>
      </c>
      <c r="H324" t="s">
        <v>231</v>
      </c>
      <c r="I324" t="s">
        <v>45</v>
      </c>
      <c r="J324">
        <v>7</v>
      </c>
      <c r="K324">
        <f t="shared" ca="1" si="56"/>
        <v>92</v>
      </c>
      <c r="L324">
        <f t="shared" ca="1" si="57"/>
        <v>-91</v>
      </c>
      <c r="M324">
        <f t="shared" ca="1" si="58"/>
        <v>0</v>
      </c>
      <c r="N324">
        <f t="shared" ca="1" si="58"/>
        <v>441</v>
      </c>
      <c r="O324">
        <f t="shared" ca="1" si="55"/>
        <v>727</v>
      </c>
      <c r="P324">
        <f t="shared" ca="1" si="59"/>
        <v>757</v>
      </c>
      <c r="Q324">
        <f t="shared" ca="1" si="60"/>
        <v>893</v>
      </c>
      <c r="R324">
        <f t="shared" ca="1" si="61"/>
        <v>422</v>
      </c>
      <c r="S324">
        <f t="shared" ca="1" si="62"/>
        <v>8849</v>
      </c>
      <c r="T324">
        <f t="shared" ca="1" si="63"/>
        <v>6897</v>
      </c>
      <c r="U324">
        <f t="shared" ca="1" si="64"/>
        <v>452</v>
      </c>
      <c r="V324">
        <v>0</v>
      </c>
      <c r="W324">
        <v>0</v>
      </c>
      <c r="X324">
        <f t="shared" ca="1" si="65"/>
        <v>-311</v>
      </c>
      <c r="Y324">
        <v>0</v>
      </c>
      <c r="Z324">
        <v>0</v>
      </c>
      <c r="AA324">
        <v>0</v>
      </c>
      <c r="AB324" t="s">
        <v>62</v>
      </c>
      <c r="AC324" t="s">
        <v>75</v>
      </c>
      <c r="AD324">
        <v>1</v>
      </c>
      <c r="AE324">
        <v>52</v>
      </c>
      <c r="AF324">
        <v>2257</v>
      </c>
      <c r="AG324" t="s">
        <v>47</v>
      </c>
      <c r="AH324" t="s">
        <v>226</v>
      </c>
      <c r="AI324" t="s">
        <v>227</v>
      </c>
      <c r="AJ324" t="s">
        <v>50</v>
      </c>
      <c r="AK324" t="s">
        <v>51</v>
      </c>
      <c r="AL324">
        <v>3.6726999999999999</v>
      </c>
      <c r="AM324" t="s">
        <v>52</v>
      </c>
      <c r="AN324" t="s">
        <v>58</v>
      </c>
      <c r="AO324" t="s">
        <v>232</v>
      </c>
      <c r="AP324" t="s">
        <v>60</v>
      </c>
      <c r="AQ324" t="s">
        <v>55</v>
      </c>
    </row>
    <row r="325" spans="1:43" x14ac:dyDescent="0.3">
      <c r="A325" t="s">
        <v>43</v>
      </c>
      <c r="B325">
        <v>1999</v>
      </c>
      <c r="C325">
        <v>535</v>
      </c>
      <c r="D325">
        <v>5111</v>
      </c>
      <c r="E325">
        <v>13</v>
      </c>
      <c r="F325">
        <v>202305</v>
      </c>
      <c r="G325">
        <v>300024</v>
      </c>
      <c r="H325" t="s">
        <v>231</v>
      </c>
      <c r="I325" t="s">
        <v>45</v>
      </c>
      <c r="J325">
        <v>7</v>
      </c>
      <c r="K325">
        <f t="shared" ca="1" si="56"/>
        <v>17</v>
      </c>
      <c r="L325">
        <f t="shared" ca="1" si="57"/>
        <v>-93</v>
      </c>
      <c r="M325">
        <f t="shared" ca="1" si="58"/>
        <v>-22</v>
      </c>
      <c r="N325">
        <f t="shared" ca="1" si="58"/>
        <v>-86</v>
      </c>
      <c r="O325">
        <f t="shared" ca="1" si="55"/>
        <v>69</v>
      </c>
      <c r="P325">
        <f t="shared" ca="1" si="59"/>
        <v>437</v>
      </c>
      <c r="Q325">
        <f t="shared" ca="1" si="60"/>
        <v>634</v>
      </c>
      <c r="R325">
        <f t="shared" ca="1" si="61"/>
        <v>405</v>
      </c>
      <c r="S325">
        <f t="shared" ca="1" si="62"/>
        <v>7703</v>
      </c>
      <c r="T325">
        <f t="shared" ca="1" si="63"/>
        <v>6919</v>
      </c>
      <c r="U325">
        <f t="shared" ca="1" si="64"/>
        <v>875</v>
      </c>
      <c r="V325">
        <v>0</v>
      </c>
      <c r="W325">
        <v>0</v>
      </c>
      <c r="X325">
        <f t="shared" ca="1" si="65"/>
        <v>-468</v>
      </c>
      <c r="Y325">
        <v>0</v>
      </c>
      <c r="Z325">
        <v>0</v>
      </c>
      <c r="AA325">
        <v>0</v>
      </c>
      <c r="AB325" t="s">
        <v>62</v>
      </c>
      <c r="AC325" t="s">
        <v>233</v>
      </c>
      <c r="AD325">
        <v>1</v>
      </c>
      <c r="AE325">
        <v>52</v>
      </c>
      <c r="AF325">
        <v>2257</v>
      </c>
      <c r="AG325" t="s">
        <v>47</v>
      </c>
      <c r="AH325" t="s">
        <v>226</v>
      </c>
      <c r="AI325" t="s">
        <v>227</v>
      </c>
      <c r="AJ325" t="s">
        <v>50</v>
      </c>
      <c r="AK325" t="s">
        <v>51</v>
      </c>
      <c r="AL325">
        <v>3.6726999999999999</v>
      </c>
      <c r="AM325" t="s">
        <v>52</v>
      </c>
      <c r="AN325" t="s">
        <v>58</v>
      </c>
      <c r="AO325" t="s">
        <v>232</v>
      </c>
      <c r="AP325" t="s">
        <v>60</v>
      </c>
      <c r="AQ325" t="s">
        <v>55</v>
      </c>
    </row>
    <row r="326" spans="1:43" x14ac:dyDescent="0.3">
      <c r="A326" t="s">
        <v>43</v>
      </c>
      <c r="B326">
        <v>1999</v>
      </c>
      <c r="C326">
        <v>535</v>
      </c>
      <c r="D326">
        <v>5111</v>
      </c>
      <c r="E326">
        <v>13</v>
      </c>
      <c r="F326">
        <v>202305</v>
      </c>
      <c r="G326">
        <v>1100104</v>
      </c>
      <c r="H326" t="s">
        <v>231</v>
      </c>
      <c r="I326" t="s">
        <v>45</v>
      </c>
      <c r="J326">
        <v>7</v>
      </c>
      <c r="K326">
        <f t="shared" ca="1" si="56"/>
        <v>55</v>
      </c>
      <c r="L326">
        <f t="shared" ca="1" si="57"/>
        <v>32</v>
      </c>
      <c r="M326">
        <f t="shared" ca="1" si="58"/>
        <v>499</v>
      </c>
      <c r="N326">
        <f t="shared" ca="1" si="58"/>
        <v>121</v>
      </c>
      <c r="O326">
        <f t="shared" ca="1" si="55"/>
        <v>655</v>
      </c>
      <c r="P326">
        <f t="shared" ca="1" si="59"/>
        <v>1328</v>
      </c>
      <c r="Q326">
        <f t="shared" ca="1" si="60"/>
        <v>325</v>
      </c>
      <c r="R326">
        <f t="shared" ca="1" si="61"/>
        <v>-97</v>
      </c>
      <c r="S326">
        <f t="shared" ca="1" si="62"/>
        <v>1817</v>
      </c>
      <c r="T326">
        <f t="shared" ca="1" si="63"/>
        <v>5938</v>
      </c>
      <c r="U326">
        <f t="shared" ca="1" si="64"/>
        <v>1024</v>
      </c>
      <c r="V326">
        <v>0</v>
      </c>
      <c r="W326">
        <v>0</v>
      </c>
      <c r="X326">
        <f t="shared" ca="1" si="65"/>
        <v>-352</v>
      </c>
      <c r="Y326">
        <v>0</v>
      </c>
      <c r="Z326">
        <v>0</v>
      </c>
      <c r="AA326">
        <v>8</v>
      </c>
      <c r="AB326" t="s">
        <v>65</v>
      </c>
      <c r="AC326" t="s">
        <v>76</v>
      </c>
      <c r="AD326">
        <v>1</v>
      </c>
      <c r="AE326">
        <v>52</v>
      </c>
      <c r="AF326">
        <v>2257</v>
      </c>
      <c r="AG326" t="s">
        <v>47</v>
      </c>
      <c r="AH326" t="s">
        <v>226</v>
      </c>
      <c r="AI326" t="s">
        <v>227</v>
      </c>
      <c r="AJ326" t="s">
        <v>50</v>
      </c>
      <c r="AK326" t="s">
        <v>51</v>
      </c>
      <c r="AL326">
        <v>3.6726999999999999</v>
      </c>
      <c r="AM326" t="s">
        <v>52</v>
      </c>
      <c r="AN326" t="s">
        <v>58</v>
      </c>
      <c r="AO326" t="s">
        <v>232</v>
      </c>
      <c r="AP326" t="s">
        <v>60</v>
      </c>
      <c r="AQ326" t="s">
        <v>55</v>
      </c>
    </row>
    <row r="327" spans="1:43" x14ac:dyDescent="0.3">
      <c r="A327" t="s">
        <v>43</v>
      </c>
      <c r="B327">
        <v>1999</v>
      </c>
      <c r="C327">
        <v>535</v>
      </c>
      <c r="D327">
        <v>5111</v>
      </c>
      <c r="E327">
        <v>13</v>
      </c>
      <c r="F327">
        <v>202305</v>
      </c>
      <c r="G327">
        <v>3100302</v>
      </c>
      <c r="H327" t="s">
        <v>231</v>
      </c>
      <c r="I327" t="s">
        <v>45</v>
      </c>
      <c r="J327">
        <v>7</v>
      </c>
      <c r="K327">
        <f t="shared" ca="1" si="56"/>
        <v>60</v>
      </c>
      <c r="L327">
        <f t="shared" ca="1" si="57"/>
        <v>-1</v>
      </c>
      <c r="M327">
        <f t="shared" ca="1" si="58"/>
        <v>238</v>
      </c>
      <c r="N327">
        <f t="shared" ca="1" si="58"/>
        <v>472</v>
      </c>
      <c r="O327">
        <f t="shared" ca="1" si="55"/>
        <v>651</v>
      </c>
      <c r="P327">
        <f t="shared" ca="1" si="59"/>
        <v>281</v>
      </c>
      <c r="Q327">
        <f t="shared" ca="1" si="60"/>
        <v>88</v>
      </c>
      <c r="R327">
        <f t="shared" ca="1" si="61"/>
        <v>184</v>
      </c>
      <c r="S327">
        <f t="shared" ca="1" si="62"/>
        <v>5008</v>
      </c>
      <c r="T327">
        <f t="shared" ca="1" si="63"/>
        <v>1390</v>
      </c>
      <c r="U327">
        <f t="shared" ca="1" si="64"/>
        <v>923</v>
      </c>
      <c r="V327">
        <v>0</v>
      </c>
      <c r="W327">
        <v>0</v>
      </c>
      <c r="X327">
        <f t="shared" ca="1" si="65"/>
        <v>-56</v>
      </c>
      <c r="Y327">
        <v>0</v>
      </c>
      <c r="Z327">
        <v>0</v>
      </c>
      <c r="AA327">
        <v>0</v>
      </c>
      <c r="AB327" t="s">
        <v>80</v>
      </c>
      <c r="AC327" t="s">
        <v>82</v>
      </c>
      <c r="AD327">
        <v>1</v>
      </c>
      <c r="AE327">
        <v>52</v>
      </c>
      <c r="AF327">
        <v>2257</v>
      </c>
      <c r="AG327" t="s">
        <v>47</v>
      </c>
      <c r="AH327" t="s">
        <v>226</v>
      </c>
      <c r="AI327" t="s">
        <v>227</v>
      </c>
      <c r="AJ327" t="s">
        <v>50</v>
      </c>
      <c r="AK327" t="s">
        <v>51</v>
      </c>
      <c r="AL327">
        <v>3.6726999999999999</v>
      </c>
      <c r="AM327" t="s">
        <v>52</v>
      </c>
      <c r="AN327" t="s">
        <v>58</v>
      </c>
      <c r="AO327" t="s">
        <v>232</v>
      </c>
      <c r="AP327" t="s">
        <v>60</v>
      </c>
      <c r="AQ327" t="s">
        <v>55</v>
      </c>
    </row>
    <row r="328" spans="1:43" x14ac:dyDescent="0.3">
      <c r="A328" t="s">
        <v>43</v>
      </c>
      <c r="B328">
        <v>1999</v>
      </c>
      <c r="C328">
        <v>535</v>
      </c>
      <c r="D328">
        <v>5111</v>
      </c>
      <c r="E328">
        <v>13</v>
      </c>
      <c r="F328">
        <v>202305</v>
      </c>
      <c r="G328">
        <v>3100375</v>
      </c>
      <c r="H328" t="s">
        <v>231</v>
      </c>
      <c r="I328" t="s">
        <v>45</v>
      </c>
      <c r="J328">
        <v>7</v>
      </c>
      <c r="K328">
        <f t="shared" ca="1" si="56"/>
        <v>41</v>
      </c>
      <c r="L328">
        <f t="shared" ca="1" si="57"/>
        <v>49</v>
      </c>
      <c r="M328">
        <f t="shared" ca="1" si="58"/>
        <v>-80</v>
      </c>
      <c r="N328">
        <f t="shared" ca="1" si="58"/>
        <v>311</v>
      </c>
      <c r="O328">
        <f t="shared" ca="1" si="55"/>
        <v>588</v>
      </c>
      <c r="P328">
        <f t="shared" ca="1" si="59"/>
        <v>-76</v>
      </c>
      <c r="Q328">
        <f t="shared" ca="1" si="60"/>
        <v>1047</v>
      </c>
      <c r="R328">
        <f t="shared" ca="1" si="61"/>
        <v>287</v>
      </c>
      <c r="S328">
        <f t="shared" ca="1" si="62"/>
        <v>7173</v>
      </c>
      <c r="T328">
        <f t="shared" ca="1" si="63"/>
        <v>165</v>
      </c>
      <c r="U328">
        <f t="shared" ca="1" si="64"/>
        <v>1183</v>
      </c>
      <c r="V328">
        <v>0</v>
      </c>
      <c r="W328">
        <v>0</v>
      </c>
      <c r="X328">
        <f t="shared" ca="1" si="65"/>
        <v>-259</v>
      </c>
      <c r="Y328">
        <v>0</v>
      </c>
      <c r="Z328">
        <v>0</v>
      </c>
      <c r="AA328">
        <v>0</v>
      </c>
      <c r="AB328" t="s">
        <v>80</v>
      </c>
      <c r="AC328" t="s">
        <v>234</v>
      </c>
      <c r="AD328">
        <v>1</v>
      </c>
      <c r="AE328">
        <v>52</v>
      </c>
      <c r="AF328">
        <v>2257</v>
      </c>
      <c r="AG328" t="s">
        <v>47</v>
      </c>
      <c r="AH328" t="s">
        <v>226</v>
      </c>
      <c r="AI328" t="s">
        <v>227</v>
      </c>
      <c r="AJ328" t="s">
        <v>50</v>
      </c>
      <c r="AK328" t="s">
        <v>51</v>
      </c>
      <c r="AL328">
        <v>3.6726999999999999</v>
      </c>
      <c r="AM328" t="s">
        <v>52</v>
      </c>
      <c r="AN328" t="s">
        <v>58</v>
      </c>
      <c r="AO328" t="s">
        <v>232</v>
      </c>
      <c r="AP328" t="s">
        <v>60</v>
      </c>
      <c r="AQ328" t="s">
        <v>55</v>
      </c>
    </row>
    <row r="329" spans="1:43" x14ac:dyDescent="0.3">
      <c r="A329" t="s">
        <v>43</v>
      </c>
      <c r="B329">
        <v>1999</v>
      </c>
      <c r="C329">
        <v>535</v>
      </c>
      <c r="D329">
        <v>5111</v>
      </c>
      <c r="E329">
        <v>14</v>
      </c>
      <c r="F329">
        <v>202305</v>
      </c>
      <c r="G329">
        <v>100001</v>
      </c>
      <c r="H329" t="s">
        <v>235</v>
      </c>
      <c r="I329" t="s">
        <v>45</v>
      </c>
      <c r="J329">
        <v>7</v>
      </c>
      <c r="K329">
        <f t="shared" ca="1" si="56"/>
        <v>46</v>
      </c>
      <c r="L329">
        <f t="shared" ca="1" si="57"/>
        <v>33</v>
      </c>
      <c r="M329">
        <f t="shared" ca="1" si="58"/>
        <v>207</v>
      </c>
      <c r="N329">
        <f t="shared" ca="1" si="58"/>
        <v>-59</v>
      </c>
      <c r="O329">
        <f t="shared" ca="1" si="55"/>
        <v>-69</v>
      </c>
      <c r="P329">
        <f t="shared" ca="1" si="59"/>
        <v>116</v>
      </c>
      <c r="Q329">
        <f t="shared" ca="1" si="60"/>
        <v>842</v>
      </c>
      <c r="R329">
        <f t="shared" ca="1" si="61"/>
        <v>228</v>
      </c>
      <c r="S329">
        <f t="shared" ca="1" si="62"/>
        <v>-43</v>
      </c>
      <c r="T329">
        <f t="shared" ca="1" si="63"/>
        <v>375</v>
      </c>
      <c r="U329">
        <f t="shared" ca="1" si="64"/>
        <v>681</v>
      </c>
      <c r="V329">
        <v>0</v>
      </c>
      <c r="W329">
        <v>0</v>
      </c>
      <c r="X329">
        <f t="shared" ca="1" si="65"/>
        <v>55</v>
      </c>
      <c r="Y329">
        <v>0</v>
      </c>
      <c r="Z329">
        <v>0</v>
      </c>
      <c r="AA329">
        <v>0</v>
      </c>
      <c r="AB329" t="s">
        <v>57</v>
      </c>
      <c r="AC329" t="s">
        <v>67</v>
      </c>
      <c r="AD329">
        <v>1</v>
      </c>
      <c r="AE329">
        <v>52</v>
      </c>
      <c r="AF329">
        <v>2257</v>
      </c>
      <c r="AG329" t="s">
        <v>47</v>
      </c>
      <c r="AH329" t="s">
        <v>226</v>
      </c>
      <c r="AI329" t="s">
        <v>227</v>
      </c>
      <c r="AJ329" t="s">
        <v>50</v>
      </c>
      <c r="AK329" t="s">
        <v>51</v>
      </c>
      <c r="AL329">
        <v>3.6726999999999999</v>
      </c>
      <c r="AM329" t="s">
        <v>52</v>
      </c>
      <c r="AN329" t="s">
        <v>58</v>
      </c>
      <c r="AO329" t="s">
        <v>236</v>
      </c>
      <c r="AP329" t="s">
        <v>60</v>
      </c>
      <c r="AQ329" t="s">
        <v>55</v>
      </c>
    </row>
    <row r="330" spans="1:43" x14ac:dyDescent="0.3">
      <c r="A330" t="s">
        <v>43</v>
      </c>
      <c r="B330">
        <v>1999</v>
      </c>
      <c r="C330">
        <v>535</v>
      </c>
      <c r="D330">
        <v>5111</v>
      </c>
      <c r="E330">
        <v>14</v>
      </c>
      <c r="F330">
        <v>202305</v>
      </c>
      <c r="G330">
        <v>100002</v>
      </c>
      <c r="H330" t="s">
        <v>235</v>
      </c>
      <c r="I330" t="s">
        <v>45</v>
      </c>
      <c r="J330">
        <v>7</v>
      </c>
      <c r="K330">
        <f t="shared" ca="1" si="56"/>
        <v>31</v>
      </c>
      <c r="L330">
        <f t="shared" ca="1" si="57"/>
        <v>22</v>
      </c>
      <c r="M330">
        <f t="shared" ca="1" si="58"/>
        <v>346</v>
      </c>
      <c r="N330">
        <f t="shared" ca="1" si="58"/>
        <v>183</v>
      </c>
      <c r="O330">
        <f t="shared" ca="1" si="55"/>
        <v>781</v>
      </c>
      <c r="P330">
        <f t="shared" ca="1" si="59"/>
        <v>76</v>
      </c>
      <c r="Q330">
        <f t="shared" ca="1" si="60"/>
        <v>1015</v>
      </c>
      <c r="R330">
        <f t="shared" ca="1" si="61"/>
        <v>391</v>
      </c>
      <c r="S330">
        <f t="shared" ca="1" si="62"/>
        <v>6484</v>
      </c>
      <c r="T330">
        <f t="shared" ca="1" si="63"/>
        <v>8155</v>
      </c>
      <c r="U330">
        <f t="shared" ca="1" si="64"/>
        <v>1254</v>
      </c>
      <c r="V330">
        <v>0</v>
      </c>
      <c r="W330">
        <v>0</v>
      </c>
      <c r="X330">
        <f t="shared" ca="1" si="65"/>
        <v>-419</v>
      </c>
      <c r="Y330">
        <v>0</v>
      </c>
      <c r="Z330">
        <v>0</v>
      </c>
      <c r="AA330">
        <v>0</v>
      </c>
      <c r="AB330" t="s">
        <v>57</v>
      </c>
      <c r="AC330" t="s">
        <v>69</v>
      </c>
      <c r="AD330">
        <v>1</v>
      </c>
      <c r="AE330">
        <v>52</v>
      </c>
      <c r="AF330">
        <v>2257</v>
      </c>
      <c r="AG330" t="s">
        <v>47</v>
      </c>
      <c r="AH330" t="s">
        <v>226</v>
      </c>
      <c r="AI330" t="s">
        <v>227</v>
      </c>
      <c r="AJ330" t="s">
        <v>50</v>
      </c>
      <c r="AK330" t="s">
        <v>51</v>
      </c>
      <c r="AL330">
        <v>3.6726999999999999</v>
      </c>
      <c r="AM330" t="s">
        <v>52</v>
      </c>
      <c r="AN330" t="s">
        <v>58</v>
      </c>
      <c r="AO330" t="s">
        <v>236</v>
      </c>
      <c r="AP330" t="s">
        <v>60</v>
      </c>
      <c r="AQ330" t="s">
        <v>55</v>
      </c>
    </row>
    <row r="331" spans="1:43" x14ac:dyDescent="0.3">
      <c r="A331" t="s">
        <v>43</v>
      </c>
      <c r="B331">
        <v>1999</v>
      </c>
      <c r="C331">
        <v>535</v>
      </c>
      <c r="D331">
        <v>5111</v>
      </c>
      <c r="E331">
        <v>14</v>
      </c>
      <c r="F331">
        <v>202305</v>
      </c>
      <c r="G331">
        <v>100005</v>
      </c>
      <c r="H331" t="s">
        <v>235</v>
      </c>
      <c r="I331" t="s">
        <v>45</v>
      </c>
      <c r="J331">
        <v>7</v>
      </c>
      <c r="K331">
        <f t="shared" ca="1" si="56"/>
        <v>97</v>
      </c>
      <c r="L331">
        <f t="shared" ca="1" si="57"/>
        <v>83</v>
      </c>
      <c r="M331">
        <f t="shared" ca="1" si="58"/>
        <v>26</v>
      </c>
      <c r="N331">
        <f t="shared" ca="1" si="58"/>
        <v>-49</v>
      </c>
      <c r="O331">
        <f t="shared" ca="1" si="55"/>
        <v>862</v>
      </c>
      <c r="P331">
        <f t="shared" ca="1" si="59"/>
        <v>1268</v>
      </c>
      <c r="Q331">
        <f t="shared" ca="1" si="60"/>
        <v>505</v>
      </c>
      <c r="R331">
        <f t="shared" ca="1" si="61"/>
        <v>426</v>
      </c>
      <c r="S331">
        <f t="shared" ca="1" si="62"/>
        <v>9396</v>
      </c>
      <c r="T331">
        <f t="shared" ca="1" si="63"/>
        <v>6835</v>
      </c>
      <c r="U331">
        <f t="shared" ca="1" si="64"/>
        <v>75</v>
      </c>
      <c r="V331">
        <v>0</v>
      </c>
      <c r="W331">
        <v>0</v>
      </c>
      <c r="X331">
        <f t="shared" ca="1" si="65"/>
        <v>-337</v>
      </c>
      <c r="Y331">
        <v>0</v>
      </c>
      <c r="Z331">
        <v>0</v>
      </c>
      <c r="AA331">
        <v>0</v>
      </c>
      <c r="AB331" t="s">
        <v>57</v>
      </c>
      <c r="AC331" t="s">
        <v>224</v>
      </c>
      <c r="AD331">
        <v>1</v>
      </c>
      <c r="AE331">
        <v>52</v>
      </c>
      <c r="AF331">
        <v>2257</v>
      </c>
      <c r="AG331" t="s">
        <v>47</v>
      </c>
      <c r="AH331" t="s">
        <v>226</v>
      </c>
      <c r="AI331" t="s">
        <v>227</v>
      </c>
      <c r="AJ331" t="s">
        <v>50</v>
      </c>
      <c r="AK331" t="s">
        <v>51</v>
      </c>
      <c r="AL331">
        <v>3.6726999999999999</v>
      </c>
      <c r="AM331" t="s">
        <v>52</v>
      </c>
      <c r="AN331" t="s">
        <v>58</v>
      </c>
      <c r="AO331" t="s">
        <v>236</v>
      </c>
      <c r="AP331" t="s">
        <v>60</v>
      </c>
      <c r="AQ331" t="s">
        <v>55</v>
      </c>
    </row>
    <row r="332" spans="1:43" x14ac:dyDescent="0.3">
      <c r="A332" t="s">
        <v>43</v>
      </c>
      <c r="B332">
        <v>1999</v>
      </c>
      <c r="C332">
        <v>535</v>
      </c>
      <c r="D332">
        <v>5111</v>
      </c>
      <c r="E332">
        <v>14</v>
      </c>
      <c r="F332">
        <v>202305</v>
      </c>
      <c r="G332">
        <v>200012</v>
      </c>
      <c r="H332" t="s">
        <v>235</v>
      </c>
      <c r="I332" t="s">
        <v>45</v>
      </c>
      <c r="J332">
        <v>7</v>
      </c>
      <c r="K332">
        <f t="shared" ca="1" si="56"/>
        <v>86</v>
      </c>
      <c r="L332">
        <f t="shared" ca="1" si="57"/>
        <v>-77</v>
      </c>
      <c r="M332">
        <f t="shared" ca="1" si="58"/>
        <v>449</v>
      </c>
      <c r="N332">
        <f t="shared" ca="1" si="58"/>
        <v>398</v>
      </c>
      <c r="O332">
        <f t="shared" ca="1" si="55"/>
        <v>143</v>
      </c>
      <c r="P332">
        <f t="shared" ca="1" si="59"/>
        <v>1433</v>
      </c>
      <c r="Q332">
        <f t="shared" ca="1" si="60"/>
        <v>759</v>
      </c>
      <c r="R332">
        <f t="shared" ca="1" si="61"/>
        <v>-92</v>
      </c>
      <c r="S332">
        <f t="shared" ca="1" si="62"/>
        <v>991</v>
      </c>
      <c r="T332">
        <f t="shared" ca="1" si="63"/>
        <v>5072</v>
      </c>
      <c r="U332">
        <f t="shared" ca="1" si="64"/>
        <v>203</v>
      </c>
      <c r="V332">
        <v>0</v>
      </c>
      <c r="W332">
        <v>0</v>
      </c>
      <c r="X332">
        <f t="shared" ca="1" si="65"/>
        <v>-456</v>
      </c>
      <c r="Y332">
        <v>0</v>
      </c>
      <c r="Z332">
        <v>0</v>
      </c>
      <c r="AA332">
        <v>0</v>
      </c>
      <c r="AB332" t="s">
        <v>61</v>
      </c>
      <c r="AC332" t="s">
        <v>73</v>
      </c>
      <c r="AD332">
        <v>1</v>
      </c>
      <c r="AE332">
        <v>52</v>
      </c>
      <c r="AF332">
        <v>2257</v>
      </c>
      <c r="AG332" t="s">
        <v>47</v>
      </c>
      <c r="AH332" t="s">
        <v>226</v>
      </c>
      <c r="AI332" t="s">
        <v>227</v>
      </c>
      <c r="AJ332" t="s">
        <v>50</v>
      </c>
      <c r="AK332" t="s">
        <v>51</v>
      </c>
      <c r="AL332">
        <v>3.6726999999999999</v>
      </c>
      <c r="AM332" t="s">
        <v>52</v>
      </c>
      <c r="AN332" t="s">
        <v>58</v>
      </c>
      <c r="AO332" t="s">
        <v>236</v>
      </c>
      <c r="AP332" t="s">
        <v>60</v>
      </c>
      <c r="AQ332" t="s">
        <v>55</v>
      </c>
    </row>
    <row r="333" spans="1:43" x14ac:dyDescent="0.3">
      <c r="A333" t="s">
        <v>43</v>
      </c>
      <c r="B333">
        <v>1999</v>
      </c>
      <c r="C333">
        <v>535</v>
      </c>
      <c r="D333">
        <v>5111</v>
      </c>
      <c r="E333">
        <v>14</v>
      </c>
      <c r="F333">
        <v>202305</v>
      </c>
      <c r="G333">
        <v>200017</v>
      </c>
      <c r="H333" t="s">
        <v>235</v>
      </c>
      <c r="I333" t="s">
        <v>45</v>
      </c>
      <c r="J333">
        <v>7</v>
      </c>
      <c r="K333">
        <f t="shared" ca="1" si="56"/>
        <v>24</v>
      </c>
      <c r="L333">
        <f t="shared" ca="1" si="57"/>
        <v>-4</v>
      </c>
      <c r="M333">
        <f t="shared" ca="1" si="58"/>
        <v>240</v>
      </c>
      <c r="N333">
        <f t="shared" ca="1" si="58"/>
        <v>340</v>
      </c>
      <c r="O333">
        <f t="shared" ca="1" si="55"/>
        <v>154</v>
      </c>
      <c r="P333">
        <f t="shared" ca="1" si="59"/>
        <v>1035</v>
      </c>
      <c r="Q333">
        <f t="shared" ca="1" si="60"/>
        <v>978</v>
      </c>
      <c r="R333">
        <f t="shared" ca="1" si="61"/>
        <v>270</v>
      </c>
      <c r="S333">
        <f t="shared" ca="1" si="62"/>
        <v>5252</v>
      </c>
      <c r="T333">
        <f t="shared" ca="1" si="63"/>
        <v>1962</v>
      </c>
      <c r="U333">
        <f t="shared" ca="1" si="64"/>
        <v>41</v>
      </c>
      <c r="V333">
        <v>0</v>
      </c>
      <c r="W333">
        <v>0</v>
      </c>
      <c r="X333">
        <f t="shared" ca="1" si="65"/>
        <v>-22</v>
      </c>
      <c r="Y333">
        <v>0</v>
      </c>
      <c r="Z333">
        <v>0</v>
      </c>
      <c r="AA333">
        <v>0</v>
      </c>
      <c r="AB333" t="s">
        <v>61</v>
      </c>
      <c r="AC333" t="s">
        <v>74</v>
      </c>
      <c r="AD333">
        <v>1</v>
      </c>
      <c r="AE333">
        <v>52</v>
      </c>
      <c r="AF333">
        <v>2257</v>
      </c>
      <c r="AG333" t="s">
        <v>47</v>
      </c>
      <c r="AH333" t="s">
        <v>226</v>
      </c>
      <c r="AI333" t="s">
        <v>227</v>
      </c>
      <c r="AJ333" t="s">
        <v>50</v>
      </c>
      <c r="AK333" t="s">
        <v>51</v>
      </c>
      <c r="AL333">
        <v>3.6726999999999999</v>
      </c>
      <c r="AM333" t="s">
        <v>52</v>
      </c>
      <c r="AN333" t="s">
        <v>58</v>
      </c>
      <c r="AO333" t="s">
        <v>236</v>
      </c>
      <c r="AP333" t="s">
        <v>60</v>
      </c>
      <c r="AQ333" t="s">
        <v>55</v>
      </c>
    </row>
    <row r="334" spans="1:43" x14ac:dyDescent="0.3">
      <c r="A334" t="s">
        <v>43</v>
      </c>
      <c r="B334">
        <v>1999</v>
      </c>
      <c r="C334">
        <v>535</v>
      </c>
      <c r="D334">
        <v>5111</v>
      </c>
      <c r="E334">
        <v>14</v>
      </c>
      <c r="F334">
        <v>202305</v>
      </c>
      <c r="G334">
        <v>300021</v>
      </c>
      <c r="H334" t="s">
        <v>235</v>
      </c>
      <c r="I334" t="s">
        <v>45</v>
      </c>
      <c r="J334">
        <v>7</v>
      </c>
      <c r="K334">
        <f t="shared" ca="1" si="56"/>
        <v>65</v>
      </c>
      <c r="L334">
        <f t="shared" ca="1" si="57"/>
        <v>-78</v>
      </c>
      <c r="M334">
        <f t="shared" ca="1" si="58"/>
        <v>466</v>
      </c>
      <c r="N334">
        <f t="shared" ca="1" si="58"/>
        <v>227</v>
      </c>
      <c r="O334">
        <f t="shared" ca="1" si="55"/>
        <v>224</v>
      </c>
      <c r="P334">
        <f t="shared" ca="1" si="59"/>
        <v>-265</v>
      </c>
      <c r="Q334">
        <f t="shared" ca="1" si="60"/>
        <v>433</v>
      </c>
      <c r="R334">
        <f t="shared" ca="1" si="61"/>
        <v>-82</v>
      </c>
      <c r="S334">
        <f t="shared" ca="1" si="62"/>
        <v>12339</v>
      </c>
      <c r="T334">
        <f t="shared" ca="1" si="63"/>
        <v>5552</v>
      </c>
      <c r="U334">
        <f t="shared" ca="1" si="64"/>
        <v>-98</v>
      </c>
      <c r="V334">
        <v>0</v>
      </c>
      <c r="W334">
        <v>0</v>
      </c>
      <c r="X334">
        <f t="shared" ca="1" si="65"/>
        <v>-310</v>
      </c>
      <c r="Y334">
        <v>0</v>
      </c>
      <c r="Z334">
        <v>0</v>
      </c>
      <c r="AA334">
        <v>0</v>
      </c>
      <c r="AB334" t="s">
        <v>62</v>
      </c>
      <c r="AC334" t="s">
        <v>75</v>
      </c>
      <c r="AD334">
        <v>1</v>
      </c>
      <c r="AE334">
        <v>52</v>
      </c>
      <c r="AF334">
        <v>2257</v>
      </c>
      <c r="AG334" t="s">
        <v>47</v>
      </c>
      <c r="AH334" t="s">
        <v>226</v>
      </c>
      <c r="AI334" t="s">
        <v>227</v>
      </c>
      <c r="AJ334" t="s">
        <v>50</v>
      </c>
      <c r="AK334" t="s">
        <v>51</v>
      </c>
      <c r="AL334">
        <v>3.6726999999999999</v>
      </c>
      <c r="AM334" t="s">
        <v>52</v>
      </c>
      <c r="AN334" t="s">
        <v>58</v>
      </c>
      <c r="AO334" t="s">
        <v>236</v>
      </c>
      <c r="AP334" t="s">
        <v>60</v>
      </c>
      <c r="AQ334" t="s">
        <v>55</v>
      </c>
    </row>
    <row r="335" spans="1:43" x14ac:dyDescent="0.3">
      <c r="A335" t="s">
        <v>43</v>
      </c>
      <c r="B335">
        <v>1999</v>
      </c>
      <c r="C335">
        <v>535</v>
      </c>
      <c r="D335">
        <v>5111</v>
      </c>
      <c r="E335">
        <v>14</v>
      </c>
      <c r="F335">
        <v>202305</v>
      </c>
      <c r="G335">
        <v>1100104</v>
      </c>
      <c r="H335" t="s">
        <v>235</v>
      </c>
      <c r="I335" t="s">
        <v>45</v>
      </c>
      <c r="J335">
        <v>7</v>
      </c>
      <c r="K335">
        <f t="shared" ca="1" si="56"/>
        <v>25</v>
      </c>
      <c r="L335">
        <f t="shared" ca="1" si="57"/>
        <v>-20</v>
      </c>
      <c r="M335">
        <f t="shared" ca="1" si="58"/>
        <v>391</v>
      </c>
      <c r="N335">
        <f t="shared" ca="1" si="58"/>
        <v>473</v>
      </c>
      <c r="O335">
        <f t="shared" ca="1" si="55"/>
        <v>997</v>
      </c>
      <c r="P335">
        <f t="shared" ca="1" si="59"/>
        <v>829</v>
      </c>
      <c r="Q335">
        <f t="shared" ca="1" si="60"/>
        <v>878</v>
      </c>
      <c r="R335">
        <f t="shared" ca="1" si="61"/>
        <v>281</v>
      </c>
      <c r="S335">
        <f t="shared" ca="1" si="62"/>
        <v>145</v>
      </c>
      <c r="T335">
        <f t="shared" ca="1" si="63"/>
        <v>4516</v>
      </c>
      <c r="U335">
        <f t="shared" ca="1" si="64"/>
        <v>753</v>
      </c>
      <c r="V335">
        <v>0</v>
      </c>
      <c r="W335">
        <v>0</v>
      </c>
      <c r="X335">
        <f t="shared" ca="1" si="65"/>
        <v>-421</v>
      </c>
      <c r="Y335">
        <v>0</v>
      </c>
      <c r="Z335">
        <v>0</v>
      </c>
      <c r="AA335">
        <v>0</v>
      </c>
      <c r="AB335" t="s">
        <v>65</v>
      </c>
      <c r="AC335" t="s">
        <v>76</v>
      </c>
      <c r="AD335">
        <v>1</v>
      </c>
      <c r="AE335">
        <v>52</v>
      </c>
      <c r="AF335">
        <v>2257</v>
      </c>
      <c r="AG335" t="s">
        <v>47</v>
      </c>
      <c r="AH335" t="s">
        <v>226</v>
      </c>
      <c r="AI335" t="s">
        <v>227</v>
      </c>
      <c r="AJ335" t="s">
        <v>50</v>
      </c>
      <c r="AK335" t="s">
        <v>51</v>
      </c>
      <c r="AL335">
        <v>3.6726999999999999</v>
      </c>
      <c r="AM335" t="s">
        <v>52</v>
      </c>
      <c r="AN335" t="s">
        <v>58</v>
      </c>
      <c r="AO335" t="s">
        <v>236</v>
      </c>
      <c r="AP335" t="s">
        <v>60</v>
      </c>
      <c r="AQ335" t="s">
        <v>55</v>
      </c>
    </row>
    <row r="336" spans="1:43" x14ac:dyDescent="0.3">
      <c r="A336" t="s">
        <v>43</v>
      </c>
      <c r="B336">
        <v>1999</v>
      </c>
      <c r="C336">
        <v>535</v>
      </c>
      <c r="D336">
        <v>5111</v>
      </c>
      <c r="E336">
        <v>14</v>
      </c>
      <c r="F336">
        <v>202305</v>
      </c>
      <c r="G336">
        <v>1101210</v>
      </c>
      <c r="H336" t="s">
        <v>235</v>
      </c>
      <c r="I336" t="s">
        <v>45</v>
      </c>
      <c r="J336">
        <v>7</v>
      </c>
      <c r="K336">
        <f t="shared" ca="1" si="56"/>
        <v>26</v>
      </c>
      <c r="L336">
        <f t="shared" ca="1" si="57"/>
        <v>-34</v>
      </c>
      <c r="M336">
        <f t="shared" ca="1" si="58"/>
        <v>289</v>
      </c>
      <c r="N336">
        <f t="shared" ca="1" si="58"/>
        <v>114</v>
      </c>
      <c r="O336">
        <f t="shared" ca="1" si="55"/>
        <v>49</v>
      </c>
      <c r="P336">
        <f t="shared" ca="1" si="59"/>
        <v>630</v>
      </c>
      <c r="Q336">
        <f t="shared" ca="1" si="60"/>
        <v>316</v>
      </c>
      <c r="R336">
        <f t="shared" ca="1" si="61"/>
        <v>-49</v>
      </c>
      <c r="S336">
        <f t="shared" ca="1" si="62"/>
        <v>10454</v>
      </c>
      <c r="T336">
        <f t="shared" ca="1" si="63"/>
        <v>1567</v>
      </c>
      <c r="U336">
        <f t="shared" ca="1" si="64"/>
        <v>149</v>
      </c>
      <c r="V336">
        <v>0</v>
      </c>
      <c r="W336">
        <v>0</v>
      </c>
      <c r="X336">
        <f t="shared" ca="1" si="65"/>
        <v>-321</v>
      </c>
      <c r="Y336">
        <v>0</v>
      </c>
      <c r="Z336">
        <v>0</v>
      </c>
      <c r="AA336">
        <v>0</v>
      </c>
      <c r="AB336" t="s">
        <v>65</v>
      </c>
      <c r="AC336" t="s">
        <v>230</v>
      </c>
      <c r="AD336">
        <v>1</v>
      </c>
      <c r="AE336">
        <v>52</v>
      </c>
      <c r="AF336">
        <v>2257</v>
      </c>
      <c r="AG336" t="s">
        <v>47</v>
      </c>
      <c r="AH336" t="s">
        <v>226</v>
      </c>
      <c r="AI336" t="s">
        <v>227</v>
      </c>
      <c r="AJ336" t="s">
        <v>50</v>
      </c>
      <c r="AK336" t="s">
        <v>51</v>
      </c>
      <c r="AL336">
        <v>3.6726999999999999</v>
      </c>
      <c r="AM336" t="s">
        <v>52</v>
      </c>
      <c r="AN336" t="s">
        <v>58</v>
      </c>
      <c r="AO336" t="s">
        <v>236</v>
      </c>
      <c r="AP336" t="s">
        <v>60</v>
      </c>
      <c r="AQ336" t="s">
        <v>55</v>
      </c>
    </row>
    <row r="337" spans="1:43" x14ac:dyDescent="0.3">
      <c r="A337" t="s">
        <v>43</v>
      </c>
      <c r="B337">
        <v>1999</v>
      </c>
      <c r="C337">
        <v>535</v>
      </c>
      <c r="D337">
        <v>5111</v>
      </c>
      <c r="E337">
        <v>16</v>
      </c>
      <c r="F337">
        <v>202305</v>
      </c>
      <c r="G337">
        <v>3</v>
      </c>
      <c r="H337" t="s">
        <v>79</v>
      </c>
      <c r="I337" t="s">
        <v>45</v>
      </c>
      <c r="J337">
        <v>2</v>
      </c>
      <c r="K337">
        <f t="shared" ca="1" si="56"/>
        <v>44</v>
      </c>
      <c r="L337">
        <f t="shared" ca="1" si="57"/>
        <v>84</v>
      </c>
      <c r="M337">
        <f t="shared" ca="1" si="58"/>
        <v>238</v>
      </c>
      <c r="N337">
        <f t="shared" ca="1" si="58"/>
        <v>43</v>
      </c>
      <c r="O337">
        <f t="shared" ca="1" si="55"/>
        <v>855</v>
      </c>
      <c r="P337">
        <f t="shared" ca="1" si="59"/>
        <v>1498</v>
      </c>
      <c r="Q337">
        <f t="shared" ca="1" si="60"/>
        <v>1042</v>
      </c>
      <c r="R337">
        <f t="shared" ca="1" si="61"/>
        <v>-29</v>
      </c>
      <c r="S337">
        <f t="shared" ca="1" si="62"/>
        <v>3211</v>
      </c>
      <c r="T337">
        <f t="shared" ca="1" si="63"/>
        <v>6710</v>
      </c>
      <c r="U337">
        <f t="shared" ca="1" si="64"/>
        <v>1226</v>
      </c>
      <c r="V337">
        <v>0</v>
      </c>
      <c r="W337">
        <v>0</v>
      </c>
      <c r="X337">
        <f t="shared" ca="1" si="65"/>
        <v>57</v>
      </c>
      <c r="Y337">
        <v>0</v>
      </c>
      <c r="Z337">
        <v>0</v>
      </c>
      <c r="AA337">
        <v>0</v>
      </c>
      <c r="AB337" t="s">
        <v>62</v>
      </c>
      <c r="AD337">
        <v>1</v>
      </c>
      <c r="AE337">
        <v>52</v>
      </c>
      <c r="AF337">
        <v>2257</v>
      </c>
      <c r="AG337" t="s">
        <v>47</v>
      </c>
      <c r="AH337" t="s">
        <v>226</v>
      </c>
      <c r="AI337" t="s">
        <v>227</v>
      </c>
      <c r="AJ337" t="s">
        <v>50</v>
      </c>
      <c r="AK337" t="s">
        <v>51</v>
      </c>
      <c r="AL337">
        <v>3.6726999999999999</v>
      </c>
      <c r="AM337" t="s">
        <v>52</v>
      </c>
      <c r="AN337" t="s">
        <v>58</v>
      </c>
      <c r="AO337" t="s">
        <v>59</v>
      </c>
      <c r="AP337" t="s">
        <v>60</v>
      </c>
      <c r="AQ337" t="s">
        <v>55</v>
      </c>
    </row>
    <row r="338" spans="1:43" x14ac:dyDescent="0.3">
      <c r="A338" t="s">
        <v>43</v>
      </c>
      <c r="B338">
        <v>1999</v>
      </c>
      <c r="C338">
        <v>535</v>
      </c>
      <c r="D338">
        <v>5111</v>
      </c>
      <c r="E338">
        <v>16</v>
      </c>
      <c r="F338">
        <v>202305</v>
      </c>
      <c r="G338">
        <v>11</v>
      </c>
      <c r="H338" t="s">
        <v>79</v>
      </c>
      <c r="I338" t="s">
        <v>45</v>
      </c>
      <c r="J338">
        <v>2</v>
      </c>
      <c r="K338">
        <f t="shared" ca="1" si="56"/>
        <v>59</v>
      </c>
      <c r="L338">
        <f t="shared" ca="1" si="57"/>
        <v>-53</v>
      </c>
      <c r="M338">
        <f t="shared" ca="1" si="58"/>
        <v>440</v>
      </c>
      <c r="N338">
        <f t="shared" ca="1" si="58"/>
        <v>412</v>
      </c>
      <c r="O338">
        <f t="shared" ca="1" si="55"/>
        <v>768</v>
      </c>
      <c r="P338">
        <f t="shared" ca="1" si="59"/>
        <v>281</v>
      </c>
      <c r="Q338">
        <f t="shared" ca="1" si="60"/>
        <v>260</v>
      </c>
      <c r="R338">
        <f t="shared" ca="1" si="61"/>
        <v>247</v>
      </c>
      <c r="S338">
        <f t="shared" ca="1" si="62"/>
        <v>9494</v>
      </c>
      <c r="T338">
        <f t="shared" ca="1" si="63"/>
        <v>4054</v>
      </c>
      <c r="U338">
        <f t="shared" ca="1" si="64"/>
        <v>-34</v>
      </c>
      <c r="V338">
        <v>0</v>
      </c>
      <c r="W338">
        <v>0</v>
      </c>
      <c r="X338">
        <f t="shared" ca="1" si="65"/>
        <v>-191</v>
      </c>
      <c r="Y338">
        <v>0</v>
      </c>
      <c r="Z338">
        <v>0</v>
      </c>
      <c r="AA338">
        <v>0</v>
      </c>
      <c r="AB338" t="s">
        <v>65</v>
      </c>
      <c r="AD338">
        <v>1</v>
      </c>
      <c r="AE338">
        <v>52</v>
      </c>
      <c r="AF338">
        <v>2257</v>
      </c>
      <c r="AG338" t="s">
        <v>47</v>
      </c>
      <c r="AH338" t="s">
        <v>226</v>
      </c>
      <c r="AI338" t="s">
        <v>227</v>
      </c>
      <c r="AJ338" t="s">
        <v>50</v>
      </c>
      <c r="AK338" t="s">
        <v>51</v>
      </c>
      <c r="AL338">
        <v>3.6726999999999999</v>
      </c>
      <c r="AM338" t="s">
        <v>52</v>
      </c>
      <c r="AN338" t="s">
        <v>58</v>
      </c>
      <c r="AO338" t="s">
        <v>59</v>
      </c>
      <c r="AP338" t="s">
        <v>60</v>
      </c>
      <c r="AQ338" t="s">
        <v>55</v>
      </c>
    </row>
    <row r="339" spans="1:43" x14ac:dyDescent="0.3">
      <c r="A339" t="s">
        <v>43</v>
      </c>
      <c r="B339">
        <v>1999</v>
      </c>
      <c r="C339">
        <v>535</v>
      </c>
      <c r="D339">
        <v>5111</v>
      </c>
      <c r="E339">
        <v>16</v>
      </c>
      <c r="F339">
        <v>202305</v>
      </c>
      <c r="G339">
        <v>31</v>
      </c>
      <c r="H339" t="s">
        <v>79</v>
      </c>
      <c r="I339" t="s">
        <v>45</v>
      </c>
      <c r="J339">
        <v>2</v>
      </c>
      <c r="K339">
        <f t="shared" ca="1" si="56"/>
        <v>90</v>
      </c>
      <c r="L339">
        <f t="shared" ca="1" si="57"/>
        <v>67</v>
      </c>
      <c r="M339">
        <f t="shared" ca="1" si="58"/>
        <v>146</v>
      </c>
      <c r="N339">
        <f t="shared" ca="1" si="58"/>
        <v>227</v>
      </c>
      <c r="O339">
        <f t="shared" ca="1" si="55"/>
        <v>881</v>
      </c>
      <c r="P339">
        <f t="shared" ca="1" si="59"/>
        <v>234</v>
      </c>
      <c r="Q339">
        <f t="shared" ca="1" si="60"/>
        <v>1115</v>
      </c>
      <c r="R339">
        <f t="shared" ca="1" si="61"/>
        <v>175</v>
      </c>
      <c r="S339">
        <f t="shared" ca="1" si="62"/>
        <v>9868</v>
      </c>
      <c r="T339">
        <f t="shared" ca="1" si="63"/>
        <v>4372</v>
      </c>
      <c r="U339">
        <f t="shared" ca="1" si="64"/>
        <v>622</v>
      </c>
      <c r="V339">
        <v>0</v>
      </c>
      <c r="W339">
        <v>0</v>
      </c>
      <c r="X339">
        <f t="shared" ca="1" si="65"/>
        <v>-150</v>
      </c>
      <c r="Y339">
        <v>0</v>
      </c>
      <c r="Z339">
        <v>0</v>
      </c>
      <c r="AA339">
        <v>0</v>
      </c>
      <c r="AB339" t="s">
        <v>80</v>
      </c>
      <c r="AD339">
        <v>1</v>
      </c>
      <c r="AE339">
        <v>52</v>
      </c>
      <c r="AF339">
        <v>2257</v>
      </c>
      <c r="AG339" t="s">
        <v>47</v>
      </c>
      <c r="AH339" t="s">
        <v>226</v>
      </c>
      <c r="AI339" t="s">
        <v>227</v>
      </c>
      <c r="AJ339" t="s">
        <v>50</v>
      </c>
      <c r="AK339" t="s">
        <v>51</v>
      </c>
      <c r="AL339">
        <v>3.6726999999999999</v>
      </c>
      <c r="AM339" t="s">
        <v>52</v>
      </c>
      <c r="AN339" t="s">
        <v>58</v>
      </c>
      <c r="AO339" t="s">
        <v>59</v>
      </c>
      <c r="AP339" t="s">
        <v>60</v>
      </c>
      <c r="AQ339" t="s">
        <v>55</v>
      </c>
    </row>
    <row r="340" spans="1:43" x14ac:dyDescent="0.3">
      <c r="A340" t="s">
        <v>43</v>
      </c>
      <c r="B340">
        <v>1999</v>
      </c>
      <c r="C340">
        <v>535</v>
      </c>
      <c r="D340">
        <v>5111</v>
      </c>
      <c r="E340">
        <v>30</v>
      </c>
      <c r="F340">
        <v>202305</v>
      </c>
      <c r="G340">
        <v>3100303</v>
      </c>
      <c r="H340" t="s">
        <v>81</v>
      </c>
      <c r="I340" t="s">
        <v>45</v>
      </c>
      <c r="J340">
        <v>7</v>
      </c>
      <c r="K340">
        <f t="shared" ca="1" si="56"/>
        <v>73</v>
      </c>
      <c r="L340">
        <f t="shared" ca="1" si="57"/>
        <v>58</v>
      </c>
      <c r="M340">
        <f t="shared" ca="1" si="58"/>
        <v>454</v>
      </c>
      <c r="N340">
        <f t="shared" ca="1" si="58"/>
        <v>378</v>
      </c>
      <c r="O340">
        <f t="shared" ca="1" si="55"/>
        <v>212</v>
      </c>
      <c r="P340">
        <f t="shared" ca="1" si="59"/>
        <v>-310</v>
      </c>
      <c r="Q340">
        <f t="shared" ca="1" si="60"/>
        <v>1131</v>
      </c>
      <c r="R340">
        <f t="shared" ca="1" si="61"/>
        <v>217</v>
      </c>
      <c r="S340">
        <f t="shared" ca="1" si="62"/>
        <v>9778</v>
      </c>
      <c r="T340">
        <f t="shared" ca="1" si="63"/>
        <v>8150</v>
      </c>
      <c r="U340">
        <f t="shared" ca="1" si="64"/>
        <v>-80</v>
      </c>
      <c r="V340">
        <v>0</v>
      </c>
      <c r="W340">
        <v>0</v>
      </c>
      <c r="X340">
        <f t="shared" ca="1" si="65"/>
        <v>-116</v>
      </c>
      <c r="Y340">
        <v>0</v>
      </c>
      <c r="Z340">
        <v>0</v>
      </c>
      <c r="AA340">
        <v>2</v>
      </c>
      <c r="AB340" t="s">
        <v>80</v>
      </c>
      <c r="AC340" t="s">
        <v>83</v>
      </c>
      <c r="AD340">
        <v>1</v>
      </c>
      <c r="AE340">
        <v>52</v>
      </c>
      <c r="AF340">
        <v>2257</v>
      </c>
      <c r="AG340" t="s">
        <v>47</v>
      </c>
      <c r="AH340" t="s">
        <v>226</v>
      </c>
      <c r="AI340" t="s">
        <v>227</v>
      </c>
      <c r="AJ340" t="s">
        <v>50</v>
      </c>
      <c r="AK340" t="s">
        <v>51</v>
      </c>
      <c r="AL340">
        <v>3.6726999999999999</v>
      </c>
      <c r="AM340" t="s">
        <v>52</v>
      </c>
      <c r="AN340" t="s">
        <v>58</v>
      </c>
      <c r="AO340" t="s">
        <v>50</v>
      </c>
      <c r="AP340" t="s">
        <v>60</v>
      </c>
      <c r="AQ340" t="s">
        <v>55</v>
      </c>
    </row>
    <row r="341" spans="1:43" x14ac:dyDescent="0.3">
      <c r="A341" t="s">
        <v>43</v>
      </c>
      <c r="B341">
        <v>1999</v>
      </c>
      <c r="C341">
        <v>535</v>
      </c>
      <c r="D341">
        <v>5111</v>
      </c>
      <c r="E341">
        <v>30</v>
      </c>
      <c r="F341">
        <v>202305</v>
      </c>
      <c r="G341">
        <v>3100305</v>
      </c>
      <c r="H341" t="s">
        <v>81</v>
      </c>
      <c r="I341" t="s">
        <v>45</v>
      </c>
      <c r="J341">
        <v>7</v>
      </c>
      <c r="K341">
        <f t="shared" ca="1" si="56"/>
        <v>76</v>
      </c>
      <c r="L341">
        <f t="shared" ca="1" si="57"/>
        <v>1</v>
      </c>
      <c r="M341">
        <f t="shared" ca="1" si="58"/>
        <v>139</v>
      </c>
      <c r="N341">
        <f t="shared" ca="1" si="58"/>
        <v>296</v>
      </c>
      <c r="O341">
        <f t="shared" ca="1" si="55"/>
        <v>64</v>
      </c>
      <c r="P341">
        <f t="shared" ca="1" si="59"/>
        <v>317</v>
      </c>
      <c r="Q341">
        <f t="shared" ca="1" si="60"/>
        <v>959</v>
      </c>
      <c r="R341">
        <f t="shared" ca="1" si="61"/>
        <v>339</v>
      </c>
      <c r="S341">
        <f t="shared" ca="1" si="62"/>
        <v>220</v>
      </c>
      <c r="T341">
        <f t="shared" ca="1" si="63"/>
        <v>4531</v>
      </c>
      <c r="U341">
        <f t="shared" ca="1" si="64"/>
        <v>1160</v>
      </c>
      <c r="V341">
        <v>0</v>
      </c>
      <c r="W341">
        <v>0</v>
      </c>
      <c r="X341">
        <f t="shared" ca="1" si="65"/>
        <v>-283</v>
      </c>
      <c r="Y341">
        <v>0</v>
      </c>
      <c r="Z341">
        <v>0</v>
      </c>
      <c r="AA341">
        <v>7</v>
      </c>
      <c r="AB341" t="s">
        <v>80</v>
      </c>
      <c r="AC341" t="s">
        <v>85</v>
      </c>
      <c r="AD341">
        <v>1</v>
      </c>
      <c r="AE341">
        <v>52</v>
      </c>
      <c r="AF341">
        <v>2257</v>
      </c>
      <c r="AG341" t="s">
        <v>47</v>
      </c>
      <c r="AH341" t="s">
        <v>226</v>
      </c>
      <c r="AI341" t="s">
        <v>227</v>
      </c>
      <c r="AJ341" t="s">
        <v>50</v>
      </c>
      <c r="AK341" t="s">
        <v>51</v>
      </c>
      <c r="AL341">
        <v>3.6726999999999999</v>
      </c>
      <c r="AM341" t="s">
        <v>52</v>
      </c>
      <c r="AN341" t="s">
        <v>58</v>
      </c>
      <c r="AO341" t="s">
        <v>50</v>
      </c>
      <c r="AP341" t="s">
        <v>60</v>
      </c>
      <c r="AQ341" t="s">
        <v>55</v>
      </c>
    </row>
    <row r="342" spans="1:43" x14ac:dyDescent="0.3">
      <c r="A342" t="s">
        <v>43</v>
      </c>
      <c r="B342">
        <v>1999</v>
      </c>
      <c r="C342">
        <v>535</v>
      </c>
      <c r="D342">
        <v>5111</v>
      </c>
      <c r="E342">
        <v>30</v>
      </c>
      <c r="F342">
        <v>202305</v>
      </c>
      <c r="G342">
        <v>3100312</v>
      </c>
      <c r="H342" t="s">
        <v>81</v>
      </c>
      <c r="I342" t="s">
        <v>45</v>
      </c>
      <c r="J342">
        <v>7</v>
      </c>
      <c r="K342">
        <f t="shared" ca="1" si="56"/>
        <v>4</v>
      </c>
      <c r="L342">
        <f t="shared" ca="1" si="57"/>
        <v>79</v>
      </c>
      <c r="M342">
        <f t="shared" ca="1" si="58"/>
        <v>349</v>
      </c>
      <c r="N342">
        <f t="shared" ca="1" si="58"/>
        <v>378</v>
      </c>
      <c r="O342">
        <f t="shared" ca="1" si="55"/>
        <v>134</v>
      </c>
      <c r="P342">
        <f t="shared" ca="1" si="59"/>
        <v>1021</v>
      </c>
      <c r="Q342">
        <f t="shared" ca="1" si="60"/>
        <v>39</v>
      </c>
      <c r="R342">
        <f t="shared" ca="1" si="61"/>
        <v>-22</v>
      </c>
      <c r="S342">
        <f t="shared" ca="1" si="62"/>
        <v>6949</v>
      </c>
      <c r="T342">
        <f t="shared" ca="1" si="63"/>
        <v>2420</v>
      </c>
      <c r="U342">
        <f t="shared" ca="1" si="64"/>
        <v>239</v>
      </c>
      <c r="V342">
        <v>0</v>
      </c>
      <c r="W342">
        <v>0</v>
      </c>
      <c r="X342">
        <f t="shared" ca="1" si="65"/>
        <v>-471</v>
      </c>
      <c r="Y342">
        <v>0</v>
      </c>
      <c r="Z342">
        <v>0</v>
      </c>
      <c r="AA342">
        <v>0</v>
      </c>
      <c r="AB342" t="s">
        <v>80</v>
      </c>
      <c r="AC342" t="s">
        <v>237</v>
      </c>
      <c r="AD342">
        <v>1</v>
      </c>
      <c r="AE342">
        <v>52</v>
      </c>
      <c r="AF342">
        <v>2257</v>
      </c>
      <c r="AG342" t="s">
        <v>47</v>
      </c>
      <c r="AH342" t="s">
        <v>226</v>
      </c>
      <c r="AI342" t="s">
        <v>227</v>
      </c>
      <c r="AJ342" t="s">
        <v>50</v>
      </c>
      <c r="AK342" t="s">
        <v>51</v>
      </c>
      <c r="AL342">
        <v>3.6726999999999999</v>
      </c>
      <c r="AM342" t="s">
        <v>52</v>
      </c>
      <c r="AN342" t="s">
        <v>58</v>
      </c>
      <c r="AO342" t="s">
        <v>50</v>
      </c>
      <c r="AP342" t="s">
        <v>60</v>
      </c>
      <c r="AQ342" t="s">
        <v>55</v>
      </c>
    </row>
    <row r="343" spans="1:43" x14ac:dyDescent="0.3">
      <c r="A343" t="s">
        <v>43</v>
      </c>
      <c r="B343">
        <v>1999</v>
      </c>
      <c r="C343">
        <v>535</v>
      </c>
      <c r="D343">
        <v>5111</v>
      </c>
      <c r="E343">
        <v>30</v>
      </c>
      <c r="F343">
        <v>202305</v>
      </c>
      <c r="G343">
        <v>3100319</v>
      </c>
      <c r="H343" t="s">
        <v>81</v>
      </c>
      <c r="I343" t="s">
        <v>45</v>
      </c>
      <c r="J343">
        <v>7</v>
      </c>
      <c r="K343">
        <f t="shared" ca="1" si="56"/>
        <v>77</v>
      </c>
      <c r="L343">
        <f t="shared" ca="1" si="57"/>
        <v>55</v>
      </c>
      <c r="M343">
        <f t="shared" ca="1" si="58"/>
        <v>432</v>
      </c>
      <c r="N343">
        <f t="shared" ca="1" si="58"/>
        <v>309</v>
      </c>
      <c r="O343">
        <f t="shared" ca="1" si="55"/>
        <v>202</v>
      </c>
      <c r="P343">
        <f t="shared" ca="1" si="59"/>
        <v>-482</v>
      </c>
      <c r="Q343">
        <f t="shared" ca="1" si="60"/>
        <v>443</v>
      </c>
      <c r="R343">
        <f t="shared" ca="1" si="61"/>
        <v>182</v>
      </c>
      <c r="S343">
        <f t="shared" ca="1" si="62"/>
        <v>12906</v>
      </c>
      <c r="T343">
        <f t="shared" ca="1" si="63"/>
        <v>8789</v>
      </c>
      <c r="U343">
        <f t="shared" ca="1" si="64"/>
        <v>459</v>
      </c>
      <c r="V343">
        <v>0</v>
      </c>
      <c r="W343">
        <v>0</v>
      </c>
      <c r="X343">
        <f t="shared" ca="1" si="65"/>
        <v>-101</v>
      </c>
      <c r="Y343">
        <v>0</v>
      </c>
      <c r="Z343">
        <v>0</v>
      </c>
      <c r="AA343">
        <v>0</v>
      </c>
      <c r="AB343" t="s">
        <v>80</v>
      </c>
      <c r="AC343" t="s">
        <v>238</v>
      </c>
      <c r="AD343">
        <v>1</v>
      </c>
      <c r="AE343">
        <v>52</v>
      </c>
      <c r="AF343">
        <v>2257</v>
      </c>
      <c r="AG343" t="s">
        <v>47</v>
      </c>
      <c r="AH343" t="s">
        <v>226</v>
      </c>
      <c r="AI343" t="s">
        <v>227</v>
      </c>
      <c r="AJ343" t="s">
        <v>50</v>
      </c>
      <c r="AK343" t="s">
        <v>51</v>
      </c>
      <c r="AL343">
        <v>3.6726999999999999</v>
      </c>
      <c r="AM343" t="s">
        <v>52</v>
      </c>
      <c r="AN343" t="s">
        <v>58</v>
      </c>
      <c r="AO343" t="s">
        <v>50</v>
      </c>
      <c r="AP343" t="s">
        <v>60</v>
      </c>
      <c r="AQ343" t="s">
        <v>55</v>
      </c>
    </row>
    <row r="344" spans="1:43" x14ac:dyDescent="0.3">
      <c r="A344" t="s">
        <v>43</v>
      </c>
      <c r="B344">
        <v>1999</v>
      </c>
      <c r="C344">
        <v>535</v>
      </c>
      <c r="D344">
        <v>5111</v>
      </c>
      <c r="E344">
        <v>30</v>
      </c>
      <c r="F344">
        <v>202305</v>
      </c>
      <c r="G344">
        <v>3100325</v>
      </c>
      <c r="H344" t="s">
        <v>81</v>
      </c>
      <c r="I344" t="s">
        <v>45</v>
      </c>
      <c r="J344">
        <v>7</v>
      </c>
      <c r="K344">
        <f t="shared" ca="1" si="56"/>
        <v>78</v>
      </c>
      <c r="L344">
        <f t="shared" ca="1" si="57"/>
        <v>49</v>
      </c>
      <c r="M344">
        <f t="shared" ca="1" si="58"/>
        <v>103</v>
      </c>
      <c r="N344">
        <f t="shared" ca="1" si="58"/>
        <v>390</v>
      </c>
      <c r="O344">
        <f t="shared" ca="1" si="55"/>
        <v>-48</v>
      </c>
      <c r="P344">
        <f t="shared" ca="1" si="59"/>
        <v>840</v>
      </c>
      <c r="Q344">
        <f t="shared" ca="1" si="60"/>
        <v>409</v>
      </c>
      <c r="R344">
        <f t="shared" ca="1" si="61"/>
        <v>-7</v>
      </c>
      <c r="S344">
        <f t="shared" ca="1" si="62"/>
        <v>1336</v>
      </c>
      <c r="T344">
        <f t="shared" ca="1" si="63"/>
        <v>6357</v>
      </c>
      <c r="U344">
        <f t="shared" ca="1" si="64"/>
        <v>344</v>
      </c>
      <c r="V344">
        <v>0</v>
      </c>
      <c r="W344">
        <v>0</v>
      </c>
      <c r="X344">
        <f t="shared" ca="1" si="65"/>
        <v>-138</v>
      </c>
      <c r="Y344">
        <v>0</v>
      </c>
      <c r="Z344">
        <v>0</v>
      </c>
      <c r="AA344">
        <v>2</v>
      </c>
      <c r="AB344" t="s">
        <v>80</v>
      </c>
      <c r="AC344" t="s">
        <v>239</v>
      </c>
      <c r="AD344">
        <v>1</v>
      </c>
      <c r="AE344">
        <v>52</v>
      </c>
      <c r="AF344">
        <v>2257</v>
      </c>
      <c r="AG344" t="s">
        <v>47</v>
      </c>
      <c r="AH344" t="s">
        <v>226</v>
      </c>
      <c r="AI344" t="s">
        <v>227</v>
      </c>
      <c r="AJ344" t="s">
        <v>50</v>
      </c>
      <c r="AK344" t="s">
        <v>51</v>
      </c>
      <c r="AL344">
        <v>3.6726999999999999</v>
      </c>
      <c r="AM344" t="s">
        <v>52</v>
      </c>
      <c r="AN344" t="s">
        <v>58</v>
      </c>
      <c r="AO344" t="s">
        <v>50</v>
      </c>
      <c r="AP344" t="s">
        <v>60</v>
      </c>
      <c r="AQ344" t="s">
        <v>55</v>
      </c>
    </row>
    <row r="345" spans="1:43" x14ac:dyDescent="0.3">
      <c r="A345" t="s">
        <v>43</v>
      </c>
      <c r="B345">
        <v>1999</v>
      </c>
      <c r="C345">
        <v>535</v>
      </c>
      <c r="D345">
        <v>5111</v>
      </c>
      <c r="E345">
        <v>30</v>
      </c>
      <c r="F345">
        <v>202305</v>
      </c>
      <c r="G345">
        <v>3100330</v>
      </c>
      <c r="H345" t="s">
        <v>81</v>
      </c>
      <c r="I345" t="s">
        <v>45</v>
      </c>
      <c r="J345">
        <v>7</v>
      </c>
      <c r="K345">
        <f t="shared" ca="1" si="56"/>
        <v>61</v>
      </c>
      <c r="L345">
        <f t="shared" ca="1" si="57"/>
        <v>84</v>
      </c>
      <c r="M345">
        <f t="shared" ca="1" si="58"/>
        <v>435</v>
      </c>
      <c r="N345">
        <f t="shared" ca="1" si="58"/>
        <v>81</v>
      </c>
      <c r="O345">
        <f t="shared" ca="1" si="55"/>
        <v>709</v>
      </c>
      <c r="P345">
        <f t="shared" ca="1" si="59"/>
        <v>-216</v>
      </c>
      <c r="Q345">
        <f t="shared" ca="1" si="60"/>
        <v>165</v>
      </c>
      <c r="R345">
        <f t="shared" ca="1" si="61"/>
        <v>350</v>
      </c>
      <c r="S345">
        <f t="shared" ca="1" si="62"/>
        <v>14876</v>
      </c>
      <c r="T345">
        <f t="shared" ca="1" si="63"/>
        <v>323</v>
      </c>
      <c r="U345">
        <f t="shared" ca="1" si="64"/>
        <v>250</v>
      </c>
      <c r="V345">
        <v>0</v>
      </c>
      <c r="W345">
        <v>0</v>
      </c>
      <c r="X345">
        <f t="shared" ca="1" si="65"/>
        <v>-140</v>
      </c>
      <c r="Y345">
        <v>0</v>
      </c>
      <c r="Z345">
        <v>0</v>
      </c>
      <c r="AA345">
        <v>0</v>
      </c>
      <c r="AB345" t="s">
        <v>80</v>
      </c>
      <c r="AC345" t="s">
        <v>87</v>
      </c>
      <c r="AD345">
        <v>1</v>
      </c>
      <c r="AE345">
        <v>52</v>
      </c>
      <c r="AF345">
        <v>2257</v>
      </c>
      <c r="AG345" t="s">
        <v>47</v>
      </c>
      <c r="AH345" t="s">
        <v>226</v>
      </c>
      <c r="AI345" t="s">
        <v>227</v>
      </c>
      <c r="AJ345" t="s">
        <v>50</v>
      </c>
      <c r="AK345" t="s">
        <v>51</v>
      </c>
      <c r="AL345">
        <v>3.6726999999999999</v>
      </c>
      <c r="AM345" t="s">
        <v>52</v>
      </c>
      <c r="AN345" t="s">
        <v>58</v>
      </c>
      <c r="AO345" t="s">
        <v>50</v>
      </c>
      <c r="AP345" t="s">
        <v>60</v>
      </c>
      <c r="AQ345" t="s">
        <v>55</v>
      </c>
    </row>
    <row r="346" spans="1:43" x14ac:dyDescent="0.3">
      <c r="A346" t="s">
        <v>43</v>
      </c>
      <c r="B346">
        <v>1999</v>
      </c>
      <c r="C346">
        <v>535</v>
      </c>
      <c r="D346">
        <v>5111</v>
      </c>
      <c r="E346">
        <v>30</v>
      </c>
      <c r="F346">
        <v>202305</v>
      </c>
      <c r="G346">
        <v>3100332</v>
      </c>
      <c r="H346" t="s">
        <v>81</v>
      </c>
      <c r="I346" t="s">
        <v>45</v>
      </c>
      <c r="J346">
        <v>7</v>
      </c>
      <c r="K346">
        <f t="shared" ca="1" si="56"/>
        <v>25</v>
      </c>
      <c r="L346">
        <f t="shared" ca="1" si="57"/>
        <v>-89</v>
      </c>
      <c r="M346">
        <f t="shared" ca="1" si="58"/>
        <v>455</v>
      </c>
      <c r="N346">
        <f t="shared" ca="1" si="58"/>
        <v>325</v>
      </c>
      <c r="O346">
        <f t="shared" ca="1" si="55"/>
        <v>703</v>
      </c>
      <c r="P346">
        <f t="shared" ca="1" si="59"/>
        <v>587</v>
      </c>
      <c r="Q346">
        <f t="shared" ca="1" si="60"/>
        <v>172</v>
      </c>
      <c r="R346">
        <f t="shared" ca="1" si="61"/>
        <v>274</v>
      </c>
      <c r="S346">
        <f t="shared" ca="1" si="62"/>
        <v>4371</v>
      </c>
      <c r="T346">
        <f t="shared" ca="1" si="63"/>
        <v>6207</v>
      </c>
      <c r="U346">
        <f t="shared" ca="1" si="64"/>
        <v>873</v>
      </c>
      <c r="V346">
        <v>0</v>
      </c>
      <c r="W346">
        <v>0</v>
      </c>
      <c r="X346">
        <f t="shared" ca="1" si="65"/>
        <v>-302</v>
      </c>
      <c r="Y346">
        <v>0</v>
      </c>
      <c r="Z346">
        <v>0</v>
      </c>
      <c r="AA346">
        <v>0</v>
      </c>
      <c r="AB346" t="s">
        <v>80</v>
      </c>
      <c r="AC346" t="s">
        <v>88</v>
      </c>
      <c r="AD346">
        <v>1</v>
      </c>
      <c r="AE346">
        <v>52</v>
      </c>
      <c r="AF346">
        <v>2257</v>
      </c>
      <c r="AG346" t="s">
        <v>47</v>
      </c>
      <c r="AH346" t="s">
        <v>226</v>
      </c>
      <c r="AI346" t="s">
        <v>227</v>
      </c>
      <c r="AJ346" t="s">
        <v>50</v>
      </c>
      <c r="AK346" t="s">
        <v>51</v>
      </c>
      <c r="AL346">
        <v>3.6726999999999999</v>
      </c>
      <c r="AM346" t="s">
        <v>52</v>
      </c>
      <c r="AN346" t="s">
        <v>58</v>
      </c>
      <c r="AO346" t="s">
        <v>50</v>
      </c>
      <c r="AP346" t="s">
        <v>60</v>
      </c>
      <c r="AQ346" t="s">
        <v>55</v>
      </c>
    </row>
    <row r="347" spans="1:43" x14ac:dyDescent="0.3">
      <c r="A347" t="s">
        <v>43</v>
      </c>
      <c r="B347">
        <v>1999</v>
      </c>
      <c r="C347">
        <v>535</v>
      </c>
      <c r="D347">
        <v>5111</v>
      </c>
      <c r="E347">
        <v>30</v>
      </c>
      <c r="F347">
        <v>202305</v>
      </c>
      <c r="G347">
        <v>3100335</v>
      </c>
      <c r="H347" t="s">
        <v>81</v>
      </c>
      <c r="I347" t="s">
        <v>45</v>
      </c>
      <c r="J347">
        <v>7</v>
      </c>
      <c r="K347">
        <f t="shared" ca="1" si="56"/>
        <v>42</v>
      </c>
      <c r="L347">
        <f t="shared" ca="1" si="57"/>
        <v>-28</v>
      </c>
      <c r="M347">
        <f t="shared" ca="1" si="58"/>
        <v>-66</v>
      </c>
      <c r="N347">
        <f t="shared" ca="1" si="58"/>
        <v>248</v>
      </c>
      <c r="O347">
        <f t="shared" ca="1" si="55"/>
        <v>500</v>
      </c>
      <c r="P347">
        <f t="shared" ca="1" si="59"/>
        <v>744</v>
      </c>
      <c r="Q347">
        <f t="shared" ca="1" si="60"/>
        <v>1051</v>
      </c>
      <c r="R347">
        <f t="shared" ca="1" si="61"/>
        <v>147</v>
      </c>
      <c r="S347">
        <f t="shared" ca="1" si="62"/>
        <v>305</v>
      </c>
      <c r="T347">
        <f t="shared" ca="1" si="63"/>
        <v>7506</v>
      </c>
      <c r="U347">
        <f t="shared" ca="1" si="64"/>
        <v>723</v>
      </c>
      <c r="V347">
        <v>0</v>
      </c>
      <c r="W347">
        <v>0</v>
      </c>
      <c r="X347">
        <f t="shared" ca="1" si="65"/>
        <v>-485</v>
      </c>
      <c r="Y347">
        <v>0</v>
      </c>
      <c r="Z347">
        <v>0</v>
      </c>
      <c r="AA347">
        <v>0</v>
      </c>
      <c r="AB347" t="s">
        <v>80</v>
      </c>
      <c r="AC347" t="s">
        <v>240</v>
      </c>
      <c r="AD347">
        <v>1</v>
      </c>
      <c r="AE347">
        <v>52</v>
      </c>
      <c r="AF347">
        <v>2257</v>
      </c>
      <c r="AG347" t="s">
        <v>47</v>
      </c>
      <c r="AH347" t="s">
        <v>226</v>
      </c>
      <c r="AI347" t="s">
        <v>227</v>
      </c>
      <c r="AJ347" t="s">
        <v>50</v>
      </c>
      <c r="AK347" t="s">
        <v>51</v>
      </c>
      <c r="AL347">
        <v>3.6726999999999999</v>
      </c>
      <c r="AM347" t="s">
        <v>52</v>
      </c>
      <c r="AN347" t="s">
        <v>58</v>
      </c>
      <c r="AO347" t="s">
        <v>50</v>
      </c>
      <c r="AP347" t="s">
        <v>60</v>
      </c>
      <c r="AQ347" t="s">
        <v>55</v>
      </c>
    </row>
    <row r="348" spans="1:43" x14ac:dyDescent="0.3">
      <c r="A348" t="s">
        <v>43</v>
      </c>
      <c r="B348">
        <v>1999</v>
      </c>
      <c r="C348">
        <v>535</v>
      </c>
      <c r="D348">
        <v>5111</v>
      </c>
      <c r="E348">
        <v>30</v>
      </c>
      <c r="F348">
        <v>202305</v>
      </c>
      <c r="G348">
        <v>3100337</v>
      </c>
      <c r="H348" t="s">
        <v>81</v>
      </c>
      <c r="I348" t="s">
        <v>45</v>
      </c>
      <c r="J348">
        <v>7</v>
      </c>
      <c r="K348">
        <f t="shared" ca="1" si="56"/>
        <v>39</v>
      </c>
      <c r="L348">
        <f t="shared" ca="1" si="57"/>
        <v>-73</v>
      </c>
      <c r="M348">
        <f t="shared" ca="1" si="58"/>
        <v>75</v>
      </c>
      <c r="N348">
        <f t="shared" ca="1" si="58"/>
        <v>49</v>
      </c>
      <c r="O348">
        <f t="shared" ca="1" si="55"/>
        <v>862</v>
      </c>
      <c r="P348">
        <f t="shared" ca="1" si="59"/>
        <v>992</v>
      </c>
      <c r="Q348">
        <f t="shared" ca="1" si="60"/>
        <v>1080</v>
      </c>
      <c r="R348">
        <f t="shared" ca="1" si="61"/>
        <v>437</v>
      </c>
      <c r="S348">
        <f t="shared" ca="1" si="62"/>
        <v>4394</v>
      </c>
      <c r="T348">
        <f t="shared" ca="1" si="63"/>
        <v>4616</v>
      </c>
      <c r="U348">
        <f t="shared" ca="1" si="64"/>
        <v>1073</v>
      </c>
      <c r="V348">
        <v>0</v>
      </c>
      <c r="W348">
        <v>0</v>
      </c>
      <c r="X348">
        <f t="shared" ca="1" si="65"/>
        <v>-440</v>
      </c>
      <c r="Y348">
        <v>0</v>
      </c>
      <c r="Z348">
        <v>0</v>
      </c>
      <c r="AA348">
        <v>0</v>
      </c>
      <c r="AB348" t="s">
        <v>80</v>
      </c>
      <c r="AC348" t="s">
        <v>241</v>
      </c>
      <c r="AD348">
        <v>1</v>
      </c>
      <c r="AE348">
        <v>52</v>
      </c>
      <c r="AF348">
        <v>2257</v>
      </c>
      <c r="AG348" t="s">
        <v>47</v>
      </c>
      <c r="AH348" t="s">
        <v>226</v>
      </c>
      <c r="AI348" t="s">
        <v>227</v>
      </c>
      <c r="AJ348" t="s">
        <v>50</v>
      </c>
      <c r="AK348" t="s">
        <v>51</v>
      </c>
      <c r="AL348">
        <v>3.6726999999999999</v>
      </c>
      <c r="AM348" t="s">
        <v>52</v>
      </c>
      <c r="AN348" t="s">
        <v>58</v>
      </c>
      <c r="AO348" t="s">
        <v>50</v>
      </c>
      <c r="AP348" t="s">
        <v>60</v>
      </c>
      <c r="AQ348" t="s">
        <v>55</v>
      </c>
    </row>
    <row r="349" spans="1:43" x14ac:dyDescent="0.3">
      <c r="A349" t="s">
        <v>43</v>
      </c>
      <c r="B349">
        <v>1999</v>
      </c>
      <c r="C349">
        <v>535</v>
      </c>
      <c r="D349">
        <v>5111</v>
      </c>
      <c r="E349">
        <v>30</v>
      </c>
      <c r="F349">
        <v>202305</v>
      </c>
      <c r="G349">
        <v>3100339</v>
      </c>
      <c r="H349" t="s">
        <v>81</v>
      </c>
      <c r="I349" t="s">
        <v>45</v>
      </c>
      <c r="J349">
        <v>7</v>
      </c>
      <c r="K349">
        <f t="shared" ca="1" si="56"/>
        <v>73</v>
      </c>
      <c r="L349">
        <f t="shared" ca="1" si="57"/>
        <v>-48</v>
      </c>
      <c r="M349">
        <f t="shared" ca="1" si="58"/>
        <v>243</v>
      </c>
      <c r="N349">
        <f t="shared" ca="1" si="58"/>
        <v>201</v>
      </c>
      <c r="O349">
        <f t="shared" ca="1" si="55"/>
        <v>713</v>
      </c>
      <c r="P349">
        <f t="shared" ca="1" si="59"/>
        <v>878</v>
      </c>
      <c r="Q349">
        <f t="shared" ca="1" si="60"/>
        <v>484</v>
      </c>
      <c r="R349">
        <f t="shared" ca="1" si="61"/>
        <v>21</v>
      </c>
      <c r="S349">
        <f t="shared" ca="1" si="62"/>
        <v>11942</v>
      </c>
      <c r="T349">
        <f t="shared" ca="1" si="63"/>
        <v>5434</v>
      </c>
      <c r="U349">
        <f t="shared" ca="1" si="64"/>
        <v>108</v>
      </c>
      <c r="V349">
        <v>0</v>
      </c>
      <c r="W349">
        <v>0</v>
      </c>
      <c r="X349">
        <f t="shared" ca="1" si="65"/>
        <v>-444</v>
      </c>
      <c r="Y349">
        <v>0</v>
      </c>
      <c r="Z349">
        <v>0</v>
      </c>
      <c r="AA349">
        <v>0</v>
      </c>
      <c r="AB349" t="s">
        <v>80</v>
      </c>
      <c r="AC349" t="s">
        <v>242</v>
      </c>
      <c r="AD349">
        <v>1</v>
      </c>
      <c r="AE349">
        <v>52</v>
      </c>
      <c r="AF349">
        <v>2257</v>
      </c>
      <c r="AG349" t="s">
        <v>47</v>
      </c>
      <c r="AH349" t="s">
        <v>226</v>
      </c>
      <c r="AI349" t="s">
        <v>227</v>
      </c>
      <c r="AJ349" t="s">
        <v>50</v>
      </c>
      <c r="AK349" t="s">
        <v>51</v>
      </c>
      <c r="AL349">
        <v>3.6726999999999999</v>
      </c>
      <c r="AM349" t="s">
        <v>52</v>
      </c>
      <c r="AN349" t="s">
        <v>58</v>
      </c>
      <c r="AO349" t="s">
        <v>50</v>
      </c>
      <c r="AP349" t="s">
        <v>60</v>
      </c>
      <c r="AQ349" t="s">
        <v>55</v>
      </c>
    </row>
    <row r="350" spans="1:43" x14ac:dyDescent="0.3">
      <c r="A350" t="s">
        <v>43</v>
      </c>
      <c r="B350">
        <v>1999</v>
      </c>
      <c r="C350">
        <v>535</v>
      </c>
      <c r="D350">
        <v>5111</v>
      </c>
      <c r="E350">
        <v>30</v>
      </c>
      <c r="F350">
        <v>202305</v>
      </c>
      <c r="G350">
        <v>3100364</v>
      </c>
      <c r="H350" t="s">
        <v>81</v>
      </c>
      <c r="I350" t="s">
        <v>45</v>
      </c>
      <c r="J350">
        <v>7</v>
      </c>
      <c r="K350">
        <f t="shared" ca="1" si="56"/>
        <v>12</v>
      </c>
      <c r="L350">
        <f t="shared" ca="1" si="57"/>
        <v>68</v>
      </c>
      <c r="M350">
        <f t="shared" ca="1" si="58"/>
        <v>96</v>
      </c>
      <c r="N350">
        <f t="shared" ca="1" si="58"/>
        <v>183</v>
      </c>
      <c r="O350">
        <f t="shared" ca="1" si="55"/>
        <v>181</v>
      </c>
      <c r="P350">
        <f t="shared" ca="1" si="59"/>
        <v>1331</v>
      </c>
      <c r="Q350">
        <f t="shared" ca="1" si="60"/>
        <v>456</v>
      </c>
      <c r="R350">
        <f t="shared" ca="1" si="61"/>
        <v>-81</v>
      </c>
      <c r="S350">
        <f t="shared" ca="1" si="62"/>
        <v>508</v>
      </c>
      <c r="T350">
        <f t="shared" ca="1" si="63"/>
        <v>6962</v>
      </c>
      <c r="U350">
        <f t="shared" ca="1" si="64"/>
        <v>953</v>
      </c>
      <c r="V350">
        <v>0</v>
      </c>
      <c r="W350">
        <v>0</v>
      </c>
      <c r="X350">
        <f t="shared" ca="1" si="65"/>
        <v>-13</v>
      </c>
      <c r="Y350">
        <v>0</v>
      </c>
      <c r="Z350">
        <v>0</v>
      </c>
      <c r="AA350">
        <v>0</v>
      </c>
      <c r="AB350" t="s">
        <v>80</v>
      </c>
      <c r="AC350" t="s">
        <v>89</v>
      </c>
      <c r="AD350">
        <v>1</v>
      </c>
      <c r="AE350">
        <v>52</v>
      </c>
      <c r="AF350">
        <v>2257</v>
      </c>
      <c r="AG350" t="s">
        <v>47</v>
      </c>
      <c r="AH350" t="s">
        <v>226</v>
      </c>
      <c r="AI350" t="s">
        <v>227</v>
      </c>
      <c r="AJ350" t="s">
        <v>50</v>
      </c>
      <c r="AK350" t="s">
        <v>51</v>
      </c>
      <c r="AL350">
        <v>3.6726999999999999</v>
      </c>
      <c r="AM350" t="s">
        <v>52</v>
      </c>
      <c r="AN350" t="s">
        <v>58</v>
      </c>
      <c r="AO350" t="s">
        <v>50</v>
      </c>
      <c r="AP350" t="s">
        <v>60</v>
      </c>
      <c r="AQ350" t="s">
        <v>55</v>
      </c>
    </row>
    <row r="351" spans="1:43" x14ac:dyDescent="0.3">
      <c r="A351" t="s">
        <v>43</v>
      </c>
      <c r="B351">
        <v>1999</v>
      </c>
      <c r="C351">
        <v>535</v>
      </c>
      <c r="D351">
        <v>5111</v>
      </c>
      <c r="E351">
        <v>30</v>
      </c>
      <c r="F351">
        <v>202305</v>
      </c>
      <c r="G351">
        <v>3100371</v>
      </c>
      <c r="H351" t="s">
        <v>81</v>
      </c>
      <c r="I351" t="s">
        <v>45</v>
      </c>
      <c r="J351">
        <v>7</v>
      </c>
      <c r="K351">
        <f t="shared" ca="1" si="56"/>
        <v>28</v>
      </c>
      <c r="L351">
        <f t="shared" ca="1" si="57"/>
        <v>45</v>
      </c>
      <c r="M351">
        <f t="shared" ca="1" si="58"/>
        <v>130</v>
      </c>
      <c r="N351">
        <f t="shared" ca="1" si="58"/>
        <v>482</v>
      </c>
      <c r="O351">
        <f t="shared" ca="1" si="55"/>
        <v>-69</v>
      </c>
      <c r="P351">
        <f t="shared" ca="1" si="59"/>
        <v>1009</v>
      </c>
      <c r="Q351">
        <f t="shared" ca="1" si="60"/>
        <v>130</v>
      </c>
      <c r="R351">
        <f t="shared" ca="1" si="61"/>
        <v>-60</v>
      </c>
      <c r="S351">
        <f t="shared" ca="1" si="62"/>
        <v>8412</v>
      </c>
      <c r="T351">
        <f t="shared" ca="1" si="63"/>
        <v>7515</v>
      </c>
      <c r="U351">
        <f t="shared" ca="1" si="64"/>
        <v>893</v>
      </c>
      <c r="V351">
        <v>0</v>
      </c>
      <c r="W351">
        <v>0</v>
      </c>
      <c r="X351">
        <f t="shared" ca="1" si="65"/>
        <v>-321</v>
      </c>
      <c r="Y351">
        <v>0</v>
      </c>
      <c r="Z351">
        <v>0</v>
      </c>
      <c r="AA351">
        <v>0</v>
      </c>
      <c r="AB351" t="s">
        <v>80</v>
      </c>
      <c r="AC351" t="s">
        <v>213</v>
      </c>
      <c r="AD351">
        <v>1</v>
      </c>
      <c r="AE351">
        <v>52</v>
      </c>
      <c r="AF351">
        <v>2257</v>
      </c>
      <c r="AG351" t="s">
        <v>47</v>
      </c>
      <c r="AH351" t="s">
        <v>226</v>
      </c>
      <c r="AI351" t="s">
        <v>227</v>
      </c>
      <c r="AJ351" t="s">
        <v>50</v>
      </c>
      <c r="AK351" t="s">
        <v>51</v>
      </c>
      <c r="AL351">
        <v>3.6726999999999999</v>
      </c>
      <c r="AM351" t="s">
        <v>52</v>
      </c>
      <c r="AN351" t="s">
        <v>58</v>
      </c>
      <c r="AO351" t="s">
        <v>50</v>
      </c>
      <c r="AP351" t="s">
        <v>60</v>
      </c>
      <c r="AQ351" t="s">
        <v>55</v>
      </c>
    </row>
    <row r="352" spans="1:43" x14ac:dyDescent="0.3">
      <c r="A352" t="s">
        <v>43</v>
      </c>
      <c r="B352">
        <v>1999</v>
      </c>
      <c r="C352">
        <v>535</v>
      </c>
      <c r="D352">
        <v>5111</v>
      </c>
      <c r="E352">
        <v>30</v>
      </c>
      <c r="F352">
        <v>202305</v>
      </c>
      <c r="G352">
        <v>3300347</v>
      </c>
      <c r="H352" t="s">
        <v>81</v>
      </c>
      <c r="I352" t="s">
        <v>45</v>
      </c>
      <c r="J352">
        <v>7</v>
      </c>
      <c r="K352">
        <f t="shared" ca="1" si="56"/>
        <v>99</v>
      </c>
      <c r="L352">
        <f t="shared" ca="1" si="57"/>
        <v>-42</v>
      </c>
      <c r="M352">
        <f t="shared" ca="1" si="58"/>
        <v>213</v>
      </c>
      <c r="N352">
        <f t="shared" ca="1" si="58"/>
        <v>-99</v>
      </c>
      <c r="O352">
        <f t="shared" ca="1" si="55"/>
        <v>800</v>
      </c>
      <c r="P352">
        <f t="shared" ca="1" si="59"/>
        <v>526</v>
      </c>
      <c r="Q352">
        <f t="shared" ca="1" si="60"/>
        <v>360</v>
      </c>
      <c r="R352">
        <f t="shared" ca="1" si="61"/>
        <v>398</v>
      </c>
      <c r="S352">
        <f t="shared" ca="1" si="62"/>
        <v>13938</v>
      </c>
      <c r="T352">
        <f t="shared" ca="1" si="63"/>
        <v>3841</v>
      </c>
      <c r="U352">
        <f t="shared" ca="1" si="64"/>
        <v>661</v>
      </c>
      <c r="V352">
        <v>0</v>
      </c>
      <c r="W352">
        <v>0</v>
      </c>
      <c r="X352">
        <f t="shared" ca="1" si="65"/>
        <v>-106</v>
      </c>
      <c r="Y352">
        <v>0</v>
      </c>
      <c r="Z352">
        <v>0</v>
      </c>
      <c r="AA352">
        <v>3</v>
      </c>
      <c r="AB352" t="s">
        <v>91</v>
      </c>
      <c r="AC352" t="s">
        <v>92</v>
      </c>
      <c r="AD352">
        <v>1</v>
      </c>
      <c r="AE352">
        <v>52</v>
      </c>
      <c r="AF352">
        <v>2257</v>
      </c>
      <c r="AG352" t="s">
        <v>47</v>
      </c>
      <c r="AH352" t="s">
        <v>226</v>
      </c>
      <c r="AI352" t="s">
        <v>227</v>
      </c>
      <c r="AJ352" t="s">
        <v>50</v>
      </c>
      <c r="AK352" t="s">
        <v>51</v>
      </c>
      <c r="AL352">
        <v>3.6726999999999999</v>
      </c>
      <c r="AM352" t="s">
        <v>52</v>
      </c>
      <c r="AN352" t="s">
        <v>58</v>
      </c>
      <c r="AO352" t="s">
        <v>50</v>
      </c>
      <c r="AP352" t="s">
        <v>60</v>
      </c>
      <c r="AQ352" t="s">
        <v>55</v>
      </c>
    </row>
    <row r="353" spans="1:43" x14ac:dyDescent="0.3">
      <c r="A353" t="s">
        <v>43</v>
      </c>
      <c r="B353">
        <v>1999</v>
      </c>
      <c r="C353">
        <v>535</v>
      </c>
      <c r="D353">
        <v>5111</v>
      </c>
      <c r="E353">
        <v>30</v>
      </c>
      <c r="F353">
        <v>202305</v>
      </c>
      <c r="G353">
        <v>5000507</v>
      </c>
      <c r="H353" t="s">
        <v>81</v>
      </c>
      <c r="I353" t="s">
        <v>45</v>
      </c>
      <c r="J353">
        <v>7</v>
      </c>
      <c r="K353">
        <f t="shared" ca="1" si="56"/>
        <v>13</v>
      </c>
      <c r="L353">
        <f t="shared" ca="1" si="57"/>
        <v>8</v>
      </c>
      <c r="M353">
        <f t="shared" ca="1" si="58"/>
        <v>486</v>
      </c>
      <c r="N353">
        <f t="shared" ca="1" si="58"/>
        <v>-41</v>
      </c>
      <c r="O353">
        <f t="shared" ca="1" si="55"/>
        <v>710</v>
      </c>
      <c r="P353">
        <f t="shared" ca="1" si="59"/>
        <v>539</v>
      </c>
      <c r="Q353">
        <f t="shared" ca="1" si="60"/>
        <v>430</v>
      </c>
      <c r="R353">
        <f t="shared" ca="1" si="61"/>
        <v>57</v>
      </c>
      <c r="S353">
        <f t="shared" ca="1" si="62"/>
        <v>11327</v>
      </c>
      <c r="T353">
        <f t="shared" ca="1" si="63"/>
        <v>8989</v>
      </c>
      <c r="U353">
        <f t="shared" ca="1" si="64"/>
        <v>-15</v>
      </c>
      <c r="V353">
        <v>0</v>
      </c>
      <c r="W353">
        <v>0</v>
      </c>
      <c r="X353">
        <f t="shared" ca="1" si="65"/>
        <v>-260</v>
      </c>
      <c r="Y353">
        <v>0</v>
      </c>
      <c r="Z353">
        <v>0</v>
      </c>
      <c r="AA353">
        <v>0</v>
      </c>
      <c r="AB353" t="s">
        <v>122</v>
      </c>
      <c r="AC353" t="s">
        <v>123</v>
      </c>
      <c r="AD353">
        <v>1</v>
      </c>
      <c r="AE353">
        <v>52</v>
      </c>
      <c r="AF353">
        <v>2257</v>
      </c>
      <c r="AG353" t="s">
        <v>47</v>
      </c>
      <c r="AH353" t="s">
        <v>226</v>
      </c>
      <c r="AI353" t="s">
        <v>227</v>
      </c>
      <c r="AJ353" t="s">
        <v>50</v>
      </c>
      <c r="AK353" t="s">
        <v>51</v>
      </c>
      <c r="AL353">
        <v>3.6726999999999999</v>
      </c>
      <c r="AM353" t="s">
        <v>52</v>
      </c>
      <c r="AN353" t="s">
        <v>58</v>
      </c>
      <c r="AO353" t="s">
        <v>50</v>
      </c>
      <c r="AP353" t="s">
        <v>60</v>
      </c>
      <c r="AQ353" t="s">
        <v>55</v>
      </c>
    </row>
    <row r="354" spans="1:43" x14ac:dyDescent="0.3">
      <c r="A354" t="s">
        <v>43</v>
      </c>
      <c r="B354">
        <v>1999</v>
      </c>
      <c r="C354">
        <v>535</v>
      </c>
      <c r="D354">
        <v>5141</v>
      </c>
      <c r="E354">
        <v>1</v>
      </c>
      <c r="F354">
        <v>202305</v>
      </c>
      <c r="G354">
        <v>1</v>
      </c>
      <c r="H354" t="s">
        <v>56</v>
      </c>
      <c r="I354" t="s">
        <v>45</v>
      </c>
      <c r="J354">
        <v>2</v>
      </c>
      <c r="K354">
        <f t="shared" ca="1" si="56"/>
        <v>44</v>
      </c>
      <c r="L354">
        <f t="shared" ca="1" si="57"/>
        <v>-2</v>
      </c>
      <c r="M354">
        <f t="shared" ca="1" si="58"/>
        <v>57</v>
      </c>
      <c r="N354">
        <f t="shared" ca="1" si="58"/>
        <v>-37</v>
      </c>
      <c r="O354">
        <f t="shared" ca="1" si="55"/>
        <v>11</v>
      </c>
      <c r="P354">
        <f t="shared" ca="1" si="59"/>
        <v>1193</v>
      </c>
      <c r="Q354">
        <f t="shared" ca="1" si="60"/>
        <v>566</v>
      </c>
      <c r="R354">
        <f t="shared" ca="1" si="61"/>
        <v>257</v>
      </c>
      <c r="S354">
        <f t="shared" ca="1" si="62"/>
        <v>10580</v>
      </c>
      <c r="T354">
        <f t="shared" ca="1" si="63"/>
        <v>9999</v>
      </c>
      <c r="U354">
        <f t="shared" ca="1" si="64"/>
        <v>965</v>
      </c>
      <c r="V354">
        <v>0</v>
      </c>
      <c r="W354">
        <v>0</v>
      </c>
      <c r="X354">
        <f t="shared" ca="1" si="65"/>
        <v>-205</v>
      </c>
      <c r="Y354">
        <v>0</v>
      </c>
      <c r="Z354">
        <v>0</v>
      </c>
      <c r="AA354">
        <v>14</v>
      </c>
      <c r="AB354" t="s">
        <v>57</v>
      </c>
      <c r="AD354">
        <v>1</v>
      </c>
      <c r="AE354">
        <v>52</v>
      </c>
      <c r="AF354">
        <v>2257</v>
      </c>
      <c r="AG354" t="s">
        <v>47</v>
      </c>
      <c r="AH354" t="s">
        <v>226</v>
      </c>
      <c r="AI354" t="s">
        <v>227</v>
      </c>
      <c r="AJ354" t="s">
        <v>50</v>
      </c>
      <c r="AK354" t="s">
        <v>51</v>
      </c>
      <c r="AL354">
        <v>3.6726999999999999</v>
      </c>
      <c r="AM354" t="s">
        <v>52</v>
      </c>
      <c r="AN354" t="s">
        <v>243</v>
      </c>
      <c r="AO354" t="s">
        <v>59</v>
      </c>
      <c r="AP354" t="s">
        <v>244</v>
      </c>
      <c r="AQ354" t="s">
        <v>55</v>
      </c>
    </row>
    <row r="355" spans="1:43" x14ac:dyDescent="0.3">
      <c r="A355" t="s">
        <v>43</v>
      </c>
      <c r="B355">
        <v>1999</v>
      </c>
      <c r="C355">
        <v>535</v>
      </c>
      <c r="D355">
        <v>5141</v>
      </c>
      <c r="E355">
        <v>1</v>
      </c>
      <c r="F355">
        <v>202305</v>
      </c>
      <c r="G355">
        <v>2</v>
      </c>
      <c r="H355" t="s">
        <v>56</v>
      </c>
      <c r="I355" t="s">
        <v>45</v>
      </c>
      <c r="J355">
        <v>2</v>
      </c>
      <c r="K355">
        <f t="shared" ca="1" si="56"/>
        <v>22</v>
      </c>
      <c r="L355">
        <f t="shared" ca="1" si="57"/>
        <v>80</v>
      </c>
      <c r="M355">
        <f t="shared" ca="1" si="58"/>
        <v>451</v>
      </c>
      <c r="N355">
        <f t="shared" ca="1" si="58"/>
        <v>168</v>
      </c>
      <c r="O355">
        <f t="shared" ca="1" si="55"/>
        <v>527</v>
      </c>
      <c r="P355">
        <f t="shared" ca="1" si="59"/>
        <v>1043</v>
      </c>
      <c r="Q355">
        <f t="shared" ca="1" si="60"/>
        <v>948</v>
      </c>
      <c r="R355">
        <f t="shared" ca="1" si="61"/>
        <v>36</v>
      </c>
      <c r="S355">
        <f t="shared" ca="1" si="62"/>
        <v>13376</v>
      </c>
      <c r="T355">
        <f t="shared" ca="1" si="63"/>
        <v>5786</v>
      </c>
      <c r="U355">
        <f t="shared" ca="1" si="64"/>
        <v>320</v>
      </c>
      <c r="V355">
        <v>0</v>
      </c>
      <c r="W355">
        <v>0</v>
      </c>
      <c r="X355">
        <f t="shared" ca="1" si="65"/>
        <v>-218</v>
      </c>
      <c r="Y355">
        <v>0</v>
      </c>
      <c r="Z355">
        <v>0</v>
      </c>
      <c r="AA355">
        <v>2</v>
      </c>
      <c r="AB355" t="s">
        <v>61</v>
      </c>
      <c r="AD355">
        <v>1</v>
      </c>
      <c r="AE355">
        <v>52</v>
      </c>
      <c r="AF355">
        <v>2257</v>
      </c>
      <c r="AG355" t="s">
        <v>47</v>
      </c>
      <c r="AH355" t="s">
        <v>226</v>
      </c>
      <c r="AI355" t="s">
        <v>227</v>
      </c>
      <c r="AJ355" t="s">
        <v>50</v>
      </c>
      <c r="AK355" t="s">
        <v>51</v>
      </c>
      <c r="AL355">
        <v>3.6726999999999999</v>
      </c>
      <c r="AM355" t="s">
        <v>52</v>
      </c>
      <c r="AN355" t="s">
        <v>243</v>
      </c>
      <c r="AO355" t="s">
        <v>59</v>
      </c>
      <c r="AP355" t="s">
        <v>244</v>
      </c>
      <c r="AQ355" t="s">
        <v>55</v>
      </c>
    </row>
    <row r="356" spans="1:43" x14ac:dyDescent="0.3">
      <c r="A356" t="s">
        <v>43</v>
      </c>
      <c r="B356">
        <v>1999</v>
      </c>
      <c r="C356">
        <v>535</v>
      </c>
      <c r="D356">
        <v>5141</v>
      </c>
      <c r="E356">
        <v>1</v>
      </c>
      <c r="F356">
        <v>202305</v>
      </c>
      <c r="G356">
        <v>3</v>
      </c>
      <c r="H356" t="s">
        <v>56</v>
      </c>
      <c r="I356" t="s">
        <v>45</v>
      </c>
      <c r="J356">
        <v>2</v>
      </c>
      <c r="K356">
        <f t="shared" ca="1" si="56"/>
        <v>36</v>
      </c>
      <c r="L356">
        <f t="shared" ca="1" si="57"/>
        <v>83</v>
      </c>
      <c r="M356">
        <f t="shared" ca="1" si="58"/>
        <v>428</v>
      </c>
      <c r="N356">
        <f t="shared" ca="1" si="58"/>
        <v>-63</v>
      </c>
      <c r="O356">
        <f t="shared" ca="1" si="55"/>
        <v>341</v>
      </c>
      <c r="P356">
        <f t="shared" ca="1" si="59"/>
        <v>307</v>
      </c>
      <c r="Q356">
        <f t="shared" ca="1" si="60"/>
        <v>507</v>
      </c>
      <c r="R356">
        <f t="shared" ca="1" si="61"/>
        <v>428</v>
      </c>
      <c r="S356">
        <f t="shared" ca="1" si="62"/>
        <v>8413</v>
      </c>
      <c r="T356">
        <f t="shared" ca="1" si="63"/>
        <v>5402</v>
      </c>
      <c r="U356">
        <f t="shared" ca="1" si="64"/>
        <v>735</v>
      </c>
      <c r="V356">
        <v>0</v>
      </c>
      <c r="W356">
        <v>0</v>
      </c>
      <c r="X356">
        <f t="shared" ca="1" si="65"/>
        <v>-360</v>
      </c>
      <c r="Y356">
        <v>0</v>
      </c>
      <c r="Z356">
        <v>0</v>
      </c>
      <c r="AA356">
        <v>29</v>
      </c>
      <c r="AB356" t="s">
        <v>62</v>
      </c>
      <c r="AD356">
        <v>1</v>
      </c>
      <c r="AE356">
        <v>52</v>
      </c>
      <c r="AF356">
        <v>2257</v>
      </c>
      <c r="AG356" t="s">
        <v>47</v>
      </c>
      <c r="AH356" t="s">
        <v>226</v>
      </c>
      <c r="AI356" t="s">
        <v>227</v>
      </c>
      <c r="AJ356" t="s">
        <v>50</v>
      </c>
      <c r="AK356" t="s">
        <v>51</v>
      </c>
      <c r="AL356">
        <v>3.6726999999999999</v>
      </c>
      <c r="AM356" t="s">
        <v>52</v>
      </c>
      <c r="AN356" t="s">
        <v>243</v>
      </c>
      <c r="AO356" t="s">
        <v>59</v>
      </c>
      <c r="AP356" t="s">
        <v>244</v>
      </c>
      <c r="AQ356" t="s">
        <v>55</v>
      </c>
    </row>
    <row r="357" spans="1:43" x14ac:dyDescent="0.3">
      <c r="A357" t="s">
        <v>43</v>
      </c>
      <c r="B357">
        <v>1999</v>
      </c>
      <c r="C357">
        <v>535</v>
      </c>
      <c r="D357">
        <v>5141</v>
      </c>
      <c r="E357">
        <v>1</v>
      </c>
      <c r="F357">
        <v>202305</v>
      </c>
      <c r="G357">
        <v>4</v>
      </c>
      <c r="H357" t="s">
        <v>56</v>
      </c>
      <c r="I357" t="s">
        <v>45</v>
      </c>
      <c r="J357">
        <v>2</v>
      </c>
      <c r="K357">
        <f t="shared" ca="1" si="56"/>
        <v>37</v>
      </c>
      <c r="L357">
        <f t="shared" ca="1" si="57"/>
        <v>-75</v>
      </c>
      <c r="M357">
        <f t="shared" ca="1" si="58"/>
        <v>414</v>
      </c>
      <c r="N357">
        <f t="shared" ca="1" si="58"/>
        <v>462</v>
      </c>
      <c r="O357">
        <f t="shared" ca="1" si="55"/>
        <v>-39</v>
      </c>
      <c r="P357">
        <f t="shared" ca="1" si="59"/>
        <v>-181</v>
      </c>
      <c r="Q357">
        <f t="shared" ca="1" si="60"/>
        <v>332</v>
      </c>
      <c r="R357">
        <f t="shared" ca="1" si="61"/>
        <v>-16</v>
      </c>
      <c r="S357">
        <f t="shared" ca="1" si="62"/>
        <v>10710</v>
      </c>
      <c r="T357">
        <f t="shared" ca="1" si="63"/>
        <v>6977</v>
      </c>
      <c r="U357">
        <f t="shared" ca="1" si="64"/>
        <v>675</v>
      </c>
      <c r="V357">
        <v>0</v>
      </c>
      <c r="W357">
        <v>0</v>
      </c>
      <c r="X357">
        <f t="shared" ca="1" si="65"/>
        <v>-452</v>
      </c>
      <c r="Y357">
        <v>0</v>
      </c>
      <c r="Z357">
        <v>0</v>
      </c>
      <c r="AA357">
        <v>12</v>
      </c>
      <c r="AB357" t="s">
        <v>63</v>
      </c>
      <c r="AD357">
        <v>1</v>
      </c>
      <c r="AE357">
        <v>52</v>
      </c>
      <c r="AF357">
        <v>2257</v>
      </c>
      <c r="AG357" t="s">
        <v>47</v>
      </c>
      <c r="AH357" t="s">
        <v>226</v>
      </c>
      <c r="AI357" t="s">
        <v>227</v>
      </c>
      <c r="AJ357" t="s">
        <v>50</v>
      </c>
      <c r="AK357" t="s">
        <v>51</v>
      </c>
      <c r="AL357">
        <v>3.6726999999999999</v>
      </c>
      <c r="AM357" t="s">
        <v>52</v>
      </c>
      <c r="AN357" t="s">
        <v>243</v>
      </c>
      <c r="AO357" t="s">
        <v>59</v>
      </c>
      <c r="AP357" t="s">
        <v>244</v>
      </c>
      <c r="AQ357" t="s">
        <v>55</v>
      </c>
    </row>
    <row r="358" spans="1:43" x14ac:dyDescent="0.3">
      <c r="A358" t="s">
        <v>43</v>
      </c>
      <c r="B358">
        <v>1999</v>
      </c>
      <c r="C358">
        <v>535</v>
      </c>
      <c r="D358">
        <v>5141</v>
      </c>
      <c r="E358">
        <v>1</v>
      </c>
      <c r="F358">
        <v>202305</v>
      </c>
      <c r="G358">
        <v>5</v>
      </c>
      <c r="H358" t="s">
        <v>56</v>
      </c>
      <c r="I358" t="s">
        <v>45</v>
      </c>
      <c r="J358">
        <v>2</v>
      </c>
      <c r="K358">
        <f t="shared" ca="1" si="56"/>
        <v>48</v>
      </c>
      <c r="L358">
        <f t="shared" ca="1" si="57"/>
        <v>-75</v>
      </c>
      <c r="M358">
        <f t="shared" ca="1" si="58"/>
        <v>-17</v>
      </c>
      <c r="N358">
        <f t="shared" ca="1" si="58"/>
        <v>430</v>
      </c>
      <c r="O358">
        <f t="shared" ca="1" si="55"/>
        <v>420</v>
      </c>
      <c r="P358">
        <f t="shared" ca="1" si="59"/>
        <v>399</v>
      </c>
      <c r="Q358">
        <f t="shared" ca="1" si="60"/>
        <v>964</v>
      </c>
      <c r="R358">
        <f t="shared" ca="1" si="61"/>
        <v>290</v>
      </c>
      <c r="S358">
        <f t="shared" ca="1" si="62"/>
        <v>2401</v>
      </c>
      <c r="T358">
        <f t="shared" ca="1" si="63"/>
        <v>779</v>
      </c>
      <c r="U358">
        <f t="shared" ca="1" si="64"/>
        <v>734</v>
      </c>
      <c r="V358">
        <v>0</v>
      </c>
      <c r="W358">
        <v>0</v>
      </c>
      <c r="X358">
        <f t="shared" ca="1" si="65"/>
        <v>-29</v>
      </c>
      <c r="Y358">
        <v>0</v>
      </c>
      <c r="Z358">
        <v>0</v>
      </c>
      <c r="AA358">
        <v>15</v>
      </c>
      <c r="AB358" t="s">
        <v>64</v>
      </c>
      <c r="AD358">
        <v>1</v>
      </c>
      <c r="AE358">
        <v>52</v>
      </c>
      <c r="AF358">
        <v>2257</v>
      </c>
      <c r="AG358" t="s">
        <v>47</v>
      </c>
      <c r="AH358" t="s">
        <v>226</v>
      </c>
      <c r="AI358" t="s">
        <v>227</v>
      </c>
      <c r="AJ358" t="s">
        <v>50</v>
      </c>
      <c r="AK358" t="s">
        <v>51</v>
      </c>
      <c r="AL358">
        <v>3.6726999999999999</v>
      </c>
      <c r="AM358" t="s">
        <v>52</v>
      </c>
      <c r="AN358" t="s">
        <v>243</v>
      </c>
      <c r="AO358" t="s">
        <v>59</v>
      </c>
      <c r="AP358" t="s">
        <v>244</v>
      </c>
      <c r="AQ358" t="s">
        <v>55</v>
      </c>
    </row>
    <row r="359" spans="1:43" x14ac:dyDescent="0.3">
      <c r="A359" t="s">
        <v>43</v>
      </c>
      <c r="B359">
        <v>1999</v>
      </c>
      <c r="C359">
        <v>535</v>
      </c>
      <c r="D359">
        <v>5141</v>
      </c>
      <c r="E359">
        <v>1</v>
      </c>
      <c r="F359">
        <v>202305</v>
      </c>
      <c r="G359">
        <v>11</v>
      </c>
      <c r="H359" t="s">
        <v>56</v>
      </c>
      <c r="I359" t="s">
        <v>45</v>
      </c>
      <c r="J359">
        <v>2</v>
      </c>
      <c r="K359">
        <f t="shared" ca="1" si="56"/>
        <v>60</v>
      </c>
      <c r="L359">
        <f t="shared" ca="1" si="57"/>
        <v>-72</v>
      </c>
      <c r="M359">
        <f t="shared" ca="1" si="58"/>
        <v>182</v>
      </c>
      <c r="N359">
        <f t="shared" ca="1" si="58"/>
        <v>200</v>
      </c>
      <c r="O359">
        <f t="shared" ca="1" si="55"/>
        <v>471</v>
      </c>
      <c r="P359">
        <f t="shared" ca="1" si="59"/>
        <v>931</v>
      </c>
      <c r="Q359">
        <f t="shared" ca="1" si="60"/>
        <v>1076</v>
      </c>
      <c r="R359">
        <f t="shared" ca="1" si="61"/>
        <v>343</v>
      </c>
      <c r="S359">
        <f t="shared" ca="1" si="62"/>
        <v>13406</v>
      </c>
      <c r="T359">
        <f t="shared" ca="1" si="63"/>
        <v>5815</v>
      </c>
      <c r="U359">
        <f t="shared" ca="1" si="64"/>
        <v>31</v>
      </c>
      <c r="V359">
        <v>0</v>
      </c>
      <c r="W359">
        <v>0</v>
      </c>
      <c r="X359">
        <f t="shared" ca="1" si="65"/>
        <v>-330</v>
      </c>
      <c r="Y359">
        <v>0</v>
      </c>
      <c r="Z359">
        <v>0</v>
      </c>
      <c r="AA359">
        <v>3</v>
      </c>
      <c r="AB359" t="s">
        <v>65</v>
      </c>
      <c r="AD359">
        <v>1</v>
      </c>
      <c r="AE359">
        <v>52</v>
      </c>
      <c r="AF359">
        <v>2257</v>
      </c>
      <c r="AG359" t="s">
        <v>47</v>
      </c>
      <c r="AH359" t="s">
        <v>226</v>
      </c>
      <c r="AI359" t="s">
        <v>227</v>
      </c>
      <c r="AJ359" t="s">
        <v>50</v>
      </c>
      <c r="AK359" t="s">
        <v>51</v>
      </c>
      <c r="AL359">
        <v>3.6726999999999999</v>
      </c>
      <c r="AM359" t="s">
        <v>52</v>
      </c>
      <c r="AN359" t="s">
        <v>243</v>
      </c>
      <c r="AO359" t="s">
        <v>59</v>
      </c>
      <c r="AP359" t="s">
        <v>244</v>
      </c>
      <c r="AQ359" t="s">
        <v>55</v>
      </c>
    </row>
    <row r="360" spans="1:43" x14ac:dyDescent="0.3">
      <c r="A360" t="s">
        <v>43</v>
      </c>
      <c r="B360">
        <v>1999</v>
      </c>
      <c r="C360">
        <v>535</v>
      </c>
      <c r="D360">
        <v>5141</v>
      </c>
      <c r="E360">
        <v>30</v>
      </c>
      <c r="F360">
        <v>202305</v>
      </c>
      <c r="G360">
        <v>3100302</v>
      </c>
      <c r="H360" t="s">
        <v>81</v>
      </c>
      <c r="I360" t="s">
        <v>45</v>
      </c>
      <c r="J360">
        <v>7</v>
      </c>
      <c r="K360">
        <f t="shared" ca="1" si="56"/>
        <v>33</v>
      </c>
      <c r="L360">
        <f t="shared" ca="1" si="57"/>
        <v>-59</v>
      </c>
      <c r="M360">
        <f t="shared" ca="1" si="58"/>
        <v>438</v>
      </c>
      <c r="N360">
        <f t="shared" ca="1" si="58"/>
        <v>220</v>
      </c>
      <c r="O360">
        <f t="shared" ca="1" si="55"/>
        <v>69</v>
      </c>
      <c r="P360">
        <f t="shared" ca="1" si="59"/>
        <v>543</v>
      </c>
      <c r="Q360">
        <f t="shared" ca="1" si="60"/>
        <v>217</v>
      </c>
      <c r="R360">
        <f t="shared" ca="1" si="61"/>
        <v>427</v>
      </c>
      <c r="S360">
        <f t="shared" ca="1" si="62"/>
        <v>12242</v>
      </c>
      <c r="T360">
        <f t="shared" ca="1" si="63"/>
        <v>1532</v>
      </c>
      <c r="U360">
        <f t="shared" ca="1" si="64"/>
        <v>-41</v>
      </c>
      <c r="V360">
        <v>0</v>
      </c>
      <c r="W360">
        <v>0</v>
      </c>
      <c r="X360">
        <f t="shared" ca="1" si="65"/>
        <v>-410</v>
      </c>
      <c r="Y360">
        <v>0</v>
      </c>
      <c r="Z360">
        <v>0</v>
      </c>
      <c r="AA360">
        <v>0</v>
      </c>
      <c r="AB360" t="s">
        <v>80</v>
      </c>
      <c r="AC360" t="s">
        <v>82</v>
      </c>
      <c r="AD360">
        <v>1</v>
      </c>
      <c r="AE360">
        <v>52</v>
      </c>
      <c r="AF360">
        <v>2257</v>
      </c>
      <c r="AG360" t="s">
        <v>47</v>
      </c>
      <c r="AH360" t="s">
        <v>226</v>
      </c>
      <c r="AI360" t="s">
        <v>227</v>
      </c>
      <c r="AJ360" t="s">
        <v>50</v>
      </c>
      <c r="AK360" t="s">
        <v>51</v>
      </c>
      <c r="AL360">
        <v>3.6726999999999999</v>
      </c>
      <c r="AM360" t="s">
        <v>52</v>
      </c>
      <c r="AN360" t="s">
        <v>243</v>
      </c>
      <c r="AO360" t="s">
        <v>50</v>
      </c>
      <c r="AP360" t="s">
        <v>244</v>
      </c>
      <c r="AQ360" t="s">
        <v>55</v>
      </c>
    </row>
    <row r="361" spans="1:43" x14ac:dyDescent="0.3">
      <c r="A361" t="s">
        <v>43</v>
      </c>
      <c r="B361">
        <v>1999</v>
      </c>
      <c r="C361">
        <v>535</v>
      </c>
      <c r="D361">
        <v>5141</v>
      </c>
      <c r="E361">
        <v>30</v>
      </c>
      <c r="F361">
        <v>202305</v>
      </c>
      <c r="G361">
        <v>3100304</v>
      </c>
      <c r="H361" t="s">
        <v>81</v>
      </c>
      <c r="I361" t="s">
        <v>45</v>
      </c>
      <c r="J361">
        <v>7</v>
      </c>
      <c r="K361">
        <f t="shared" ca="1" si="56"/>
        <v>79</v>
      </c>
      <c r="L361">
        <f t="shared" ca="1" si="57"/>
        <v>13</v>
      </c>
      <c r="M361">
        <f t="shared" ca="1" si="58"/>
        <v>383</v>
      </c>
      <c r="N361">
        <f t="shared" ca="1" si="58"/>
        <v>-75</v>
      </c>
      <c r="O361">
        <f t="shared" ca="1" si="55"/>
        <v>663</v>
      </c>
      <c r="P361">
        <f t="shared" ca="1" si="59"/>
        <v>921</v>
      </c>
      <c r="Q361">
        <f t="shared" ca="1" si="60"/>
        <v>889</v>
      </c>
      <c r="R361">
        <f t="shared" ca="1" si="61"/>
        <v>240</v>
      </c>
      <c r="S361">
        <f t="shared" ca="1" si="62"/>
        <v>4269</v>
      </c>
      <c r="T361">
        <f t="shared" ca="1" si="63"/>
        <v>4767</v>
      </c>
      <c r="U361">
        <f t="shared" ca="1" si="64"/>
        <v>563</v>
      </c>
      <c r="V361">
        <v>0</v>
      </c>
      <c r="W361">
        <v>0</v>
      </c>
      <c r="X361">
        <f t="shared" ca="1" si="65"/>
        <v>9</v>
      </c>
      <c r="Y361">
        <v>0</v>
      </c>
      <c r="Z361">
        <v>0</v>
      </c>
      <c r="AA361">
        <v>0</v>
      </c>
      <c r="AB361" t="s">
        <v>80</v>
      </c>
      <c r="AC361" t="s">
        <v>84</v>
      </c>
      <c r="AD361">
        <v>1</v>
      </c>
      <c r="AE361">
        <v>52</v>
      </c>
      <c r="AF361">
        <v>2257</v>
      </c>
      <c r="AG361" t="s">
        <v>47</v>
      </c>
      <c r="AH361" t="s">
        <v>226</v>
      </c>
      <c r="AI361" t="s">
        <v>227</v>
      </c>
      <c r="AJ361" t="s">
        <v>50</v>
      </c>
      <c r="AK361" t="s">
        <v>51</v>
      </c>
      <c r="AL361">
        <v>3.6726999999999999</v>
      </c>
      <c r="AM361" t="s">
        <v>52</v>
      </c>
      <c r="AN361" t="s">
        <v>243</v>
      </c>
      <c r="AO361" t="s">
        <v>50</v>
      </c>
      <c r="AP361" t="s">
        <v>244</v>
      </c>
      <c r="AQ361" t="s">
        <v>55</v>
      </c>
    </row>
    <row r="362" spans="1:43" x14ac:dyDescent="0.3">
      <c r="A362" t="s">
        <v>43</v>
      </c>
      <c r="B362">
        <v>1999</v>
      </c>
      <c r="C362">
        <v>535</v>
      </c>
      <c r="D362">
        <v>5141</v>
      </c>
      <c r="E362">
        <v>30</v>
      </c>
      <c r="F362">
        <v>202305</v>
      </c>
      <c r="G362">
        <v>3100305</v>
      </c>
      <c r="H362" t="s">
        <v>81</v>
      </c>
      <c r="I362" t="s">
        <v>45</v>
      </c>
      <c r="J362">
        <v>7</v>
      </c>
      <c r="K362">
        <f t="shared" ca="1" si="56"/>
        <v>44</v>
      </c>
      <c r="L362">
        <f t="shared" ca="1" si="57"/>
        <v>-50</v>
      </c>
      <c r="M362">
        <f t="shared" ca="1" si="58"/>
        <v>148</v>
      </c>
      <c r="N362">
        <f t="shared" ca="1" si="58"/>
        <v>256</v>
      </c>
      <c r="O362">
        <f t="shared" ca="1" si="55"/>
        <v>369</v>
      </c>
      <c r="P362">
        <f t="shared" ca="1" si="59"/>
        <v>1497</v>
      </c>
      <c r="Q362">
        <f t="shared" ca="1" si="60"/>
        <v>216</v>
      </c>
      <c r="R362">
        <f t="shared" ca="1" si="61"/>
        <v>286</v>
      </c>
      <c r="S362">
        <f t="shared" ca="1" si="62"/>
        <v>12504</v>
      </c>
      <c r="T362">
        <f t="shared" ca="1" si="63"/>
        <v>5445</v>
      </c>
      <c r="U362">
        <f t="shared" ca="1" si="64"/>
        <v>1160</v>
      </c>
      <c r="V362">
        <v>0</v>
      </c>
      <c r="W362">
        <v>0</v>
      </c>
      <c r="X362">
        <f t="shared" ca="1" si="65"/>
        <v>-188</v>
      </c>
      <c r="Y362">
        <v>0</v>
      </c>
      <c r="Z362">
        <v>0</v>
      </c>
      <c r="AA362">
        <v>3</v>
      </c>
      <c r="AB362" t="s">
        <v>80</v>
      </c>
      <c r="AC362" t="s">
        <v>85</v>
      </c>
      <c r="AD362">
        <v>1</v>
      </c>
      <c r="AE362">
        <v>52</v>
      </c>
      <c r="AF362">
        <v>2257</v>
      </c>
      <c r="AG362" t="s">
        <v>47</v>
      </c>
      <c r="AH362" t="s">
        <v>226</v>
      </c>
      <c r="AI362" t="s">
        <v>227</v>
      </c>
      <c r="AJ362" t="s">
        <v>50</v>
      </c>
      <c r="AK362" t="s">
        <v>51</v>
      </c>
      <c r="AL362">
        <v>3.6726999999999999</v>
      </c>
      <c r="AM362" t="s">
        <v>52</v>
      </c>
      <c r="AN362" t="s">
        <v>243</v>
      </c>
      <c r="AO362" t="s">
        <v>50</v>
      </c>
      <c r="AP362" t="s">
        <v>244</v>
      </c>
      <c r="AQ362" t="s">
        <v>55</v>
      </c>
    </row>
    <row r="363" spans="1:43" x14ac:dyDescent="0.3">
      <c r="A363" t="s">
        <v>43</v>
      </c>
      <c r="B363">
        <v>1999</v>
      </c>
      <c r="C363">
        <v>535</v>
      </c>
      <c r="D363">
        <v>5211</v>
      </c>
      <c r="E363">
        <v>1</v>
      </c>
      <c r="F363">
        <v>202305</v>
      </c>
      <c r="G363">
        <v>1</v>
      </c>
      <c r="H363" t="s">
        <v>56</v>
      </c>
      <c r="I363" t="s">
        <v>45</v>
      </c>
      <c r="J363">
        <v>2</v>
      </c>
      <c r="K363">
        <f t="shared" ca="1" si="56"/>
        <v>95</v>
      </c>
      <c r="L363">
        <f t="shared" ca="1" si="57"/>
        <v>-97</v>
      </c>
      <c r="M363">
        <f t="shared" ca="1" si="58"/>
        <v>-22</v>
      </c>
      <c r="N363">
        <f t="shared" ca="1" si="58"/>
        <v>211</v>
      </c>
      <c r="O363">
        <f t="shared" ca="1" si="55"/>
        <v>-88</v>
      </c>
      <c r="P363">
        <f t="shared" ca="1" si="59"/>
        <v>-211</v>
      </c>
      <c r="Q363">
        <f t="shared" ca="1" si="60"/>
        <v>957</v>
      </c>
      <c r="R363">
        <f t="shared" ca="1" si="61"/>
        <v>141</v>
      </c>
      <c r="S363">
        <f t="shared" ca="1" si="62"/>
        <v>5444</v>
      </c>
      <c r="T363">
        <f t="shared" ca="1" si="63"/>
        <v>3861</v>
      </c>
      <c r="U363">
        <f t="shared" ca="1" si="64"/>
        <v>562</v>
      </c>
      <c r="V363">
        <v>0</v>
      </c>
      <c r="W363">
        <v>0</v>
      </c>
      <c r="X363">
        <f t="shared" ca="1" si="65"/>
        <v>100</v>
      </c>
      <c r="Y363">
        <v>0</v>
      </c>
      <c r="Z363">
        <v>0</v>
      </c>
      <c r="AA363">
        <v>1</v>
      </c>
      <c r="AB363" t="s">
        <v>57</v>
      </c>
      <c r="AD363">
        <v>1</v>
      </c>
      <c r="AE363">
        <v>52</v>
      </c>
      <c r="AF363">
        <v>2257</v>
      </c>
      <c r="AG363" t="s">
        <v>47</v>
      </c>
      <c r="AH363" t="s">
        <v>226</v>
      </c>
      <c r="AI363" t="s">
        <v>227</v>
      </c>
      <c r="AJ363" t="s">
        <v>50</v>
      </c>
      <c r="AK363" t="s">
        <v>51</v>
      </c>
      <c r="AL363">
        <v>3.6726999999999999</v>
      </c>
      <c r="AM363" t="s">
        <v>52</v>
      </c>
      <c r="AN363" t="s">
        <v>93</v>
      </c>
      <c r="AO363" t="s">
        <v>59</v>
      </c>
      <c r="AP363" t="s">
        <v>94</v>
      </c>
      <c r="AQ363" t="s">
        <v>55</v>
      </c>
    </row>
    <row r="364" spans="1:43" x14ac:dyDescent="0.3">
      <c r="A364" t="s">
        <v>43</v>
      </c>
      <c r="B364">
        <v>1999</v>
      </c>
      <c r="C364">
        <v>535</v>
      </c>
      <c r="D364">
        <v>5211</v>
      </c>
      <c r="E364">
        <v>1</v>
      </c>
      <c r="F364">
        <v>202305</v>
      </c>
      <c r="G364">
        <v>2</v>
      </c>
      <c r="H364" t="s">
        <v>56</v>
      </c>
      <c r="I364" t="s">
        <v>45</v>
      </c>
      <c r="J364">
        <v>2</v>
      </c>
      <c r="K364">
        <f t="shared" ca="1" si="56"/>
        <v>63</v>
      </c>
      <c r="L364">
        <f t="shared" ca="1" si="57"/>
        <v>37</v>
      </c>
      <c r="M364">
        <f t="shared" ca="1" si="58"/>
        <v>-82</v>
      </c>
      <c r="N364">
        <f t="shared" ca="1" si="58"/>
        <v>44</v>
      </c>
      <c r="O364">
        <f t="shared" ca="1" si="55"/>
        <v>933</v>
      </c>
      <c r="P364">
        <f t="shared" ca="1" si="59"/>
        <v>618</v>
      </c>
      <c r="Q364">
        <f t="shared" ca="1" si="60"/>
        <v>418</v>
      </c>
      <c r="R364">
        <f t="shared" ca="1" si="61"/>
        <v>4</v>
      </c>
      <c r="S364">
        <f t="shared" ca="1" si="62"/>
        <v>6360</v>
      </c>
      <c r="T364">
        <f t="shared" ca="1" si="63"/>
        <v>2211</v>
      </c>
      <c r="U364">
        <f t="shared" ca="1" si="64"/>
        <v>947</v>
      </c>
      <c r="V364">
        <v>0</v>
      </c>
      <c r="W364">
        <v>0</v>
      </c>
      <c r="X364">
        <f t="shared" ca="1" si="65"/>
        <v>-288</v>
      </c>
      <c r="Y364">
        <v>0</v>
      </c>
      <c r="Z364">
        <v>0</v>
      </c>
      <c r="AA364">
        <v>1</v>
      </c>
      <c r="AB364" t="s">
        <v>61</v>
      </c>
      <c r="AD364">
        <v>1</v>
      </c>
      <c r="AE364">
        <v>52</v>
      </c>
      <c r="AF364">
        <v>2257</v>
      </c>
      <c r="AG364" t="s">
        <v>47</v>
      </c>
      <c r="AH364" t="s">
        <v>226</v>
      </c>
      <c r="AI364" t="s">
        <v>227</v>
      </c>
      <c r="AJ364" t="s">
        <v>50</v>
      </c>
      <c r="AK364" t="s">
        <v>51</v>
      </c>
      <c r="AL364">
        <v>3.6726999999999999</v>
      </c>
      <c r="AM364" t="s">
        <v>52</v>
      </c>
      <c r="AN364" t="s">
        <v>93</v>
      </c>
      <c r="AO364" t="s">
        <v>59</v>
      </c>
      <c r="AP364" t="s">
        <v>94</v>
      </c>
      <c r="AQ364" t="s">
        <v>55</v>
      </c>
    </row>
    <row r="365" spans="1:43" x14ac:dyDescent="0.3">
      <c r="A365" t="s">
        <v>43</v>
      </c>
      <c r="B365">
        <v>1999</v>
      </c>
      <c r="C365">
        <v>535</v>
      </c>
      <c r="D365">
        <v>5211</v>
      </c>
      <c r="E365">
        <v>1</v>
      </c>
      <c r="F365">
        <v>202305</v>
      </c>
      <c r="G365">
        <v>3</v>
      </c>
      <c r="H365" t="s">
        <v>56</v>
      </c>
      <c r="I365" t="s">
        <v>45</v>
      </c>
      <c r="J365">
        <v>2</v>
      </c>
      <c r="K365">
        <f t="shared" ca="1" si="56"/>
        <v>70</v>
      </c>
      <c r="L365">
        <f t="shared" ca="1" si="57"/>
        <v>41</v>
      </c>
      <c r="M365">
        <f t="shared" ca="1" si="58"/>
        <v>399</v>
      </c>
      <c r="N365">
        <f t="shared" ca="1" si="58"/>
        <v>302</v>
      </c>
      <c r="O365">
        <f t="shared" ca="1" si="55"/>
        <v>383</v>
      </c>
      <c r="P365">
        <f t="shared" ca="1" si="59"/>
        <v>559</v>
      </c>
      <c r="Q365">
        <f t="shared" ca="1" si="60"/>
        <v>1184</v>
      </c>
      <c r="R365">
        <f t="shared" ca="1" si="61"/>
        <v>9</v>
      </c>
      <c r="S365">
        <f t="shared" ca="1" si="62"/>
        <v>4239</v>
      </c>
      <c r="T365">
        <f t="shared" ca="1" si="63"/>
        <v>7606</v>
      </c>
      <c r="U365">
        <f t="shared" ca="1" si="64"/>
        <v>506</v>
      </c>
      <c r="V365">
        <v>0</v>
      </c>
      <c r="W365">
        <v>0</v>
      </c>
      <c r="X365">
        <f t="shared" ca="1" si="65"/>
        <v>-376</v>
      </c>
      <c r="Y365">
        <v>0</v>
      </c>
      <c r="Z365">
        <v>274</v>
      </c>
      <c r="AA365">
        <v>3</v>
      </c>
      <c r="AB365" t="s">
        <v>62</v>
      </c>
      <c r="AD365">
        <v>1</v>
      </c>
      <c r="AE365">
        <v>52</v>
      </c>
      <c r="AF365">
        <v>2257</v>
      </c>
      <c r="AG365" t="s">
        <v>47</v>
      </c>
      <c r="AH365" t="s">
        <v>226</v>
      </c>
      <c r="AI365" t="s">
        <v>227</v>
      </c>
      <c r="AJ365" t="s">
        <v>50</v>
      </c>
      <c r="AK365" t="s">
        <v>51</v>
      </c>
      <c r="AL365">
        <v>3.6726999999999999</v>
      </c>
      <c r="AM365" t="s">
        <v>52</v>
      </c>
      <c r="AN365" t="s">
        <v>93</v>
      </c>
      <c r="AO365" t="s">
        <v>59</v>
      </c>
      <c r="AP365" t="s">
        <v>94</v>
      </c>
      <c r="AQ365" t="s">
        <v>55</v>
      </c>
    </row>
    <row r="366" spans="1:43" x14ac:dyDescent="0.3">
      <c r="A366" t="s">
        <v>43</v>
      </c>
      <c r="B366">
        <v>1999</v>
      </c>
      <c r="C366">
        <v>535</v>
      </c>
      <c r="D366">
        <v>5211</v>
      </c>
      <c r="E366">
        <v>1</v>
      </c>
      <c r="F366">
        <v>202305</v>
      </c>
      <c r="G366">
        <v>4</v>
      </c>
      <c r="H366" t="s">
        <v>56</v>
      </c>
      <c r="I366" t="s">
        <v>45</v>
      </c>
      <c r="J366">
        <v>2</v>
      </c>
      <c r="K366">
        <f t="shared" ca="1" si="56"/>
        <v>9</v>
      </c>
      <c r="L366">
        <f t="shared" ca="1" si="57"/>
        <v>-100</v>
      </c>
      <c r="M366">
        <f t="shared" ca="1" si="58"/>
        <v>265</v>
      </c>
      <c r="N366">
        <f t="shared" ca="1" si="58"/>
        <v>322</v>
      </c>
      <c r="O366">
        <f t="shared" ca="1" si="55"/>
        <v>827</v>
      </c>
      <c r="P366">
        <f t="shared" ca="1" si="59"/>
        <v>-1</v>
      </c>
      <c r="Q366">
        <f t="shared" ca="1" si="60"/>
        <v>603</v>
      </c>
      <c r="R366">
        <f t="shared" ca="1" si="61"/>
        <v>222</v>
      </c>
      <c r="S366">
        <f t="shared" ca="1" si="62"/>
        <v>12746</v>
      </c>
      <c r="T366">
        <f t="shared" ca="1" si="63"/>
        <v>2910</v>
      </c>
      <c r="U366">
        <f t="shared" ca="1" si="64"/>
        <v>1060</v>
      </c>
      <c r="V366">
        <v>0</v>
      </c>
      <c r="W366">
        <v>0</v>
      </c>
      <c r="X366">
        <f t="shared" ca="1" si="65"/>
        <v>-438</v>
      </c>
      <c r="Y366">
        <v>0</v>
      </c>
      <c r="Z366">
        <v>-1</v>
      </c>
      <c r="AA366">
        <v>0</v>
      </c>
      <c r="AB366" t="s">
        <v>63</v>
      </c>
      <c r="AD366">
        <v>1</v>
      </c>
      <c r="AE366">
        <v>52</v>
      </c>
      <c r="AF366">
        <v>2257</v>
      </c>
      <c r="AG366" t="s">
        <v>47</v>
      </c>
      <c r="AH366" t="s">
        <v>226</v>
      </c>
      <c r="AI366" t="s">
        <v>227</v>
      </c>
      <c r="AJ366" t="s">
        <v>50</v>
      </c>
      <c r="AK366" t="s">
        <v>51</v>
      </c>
      <c r="AL366">
        <v>3.6726999999999999</v>
      </c>
      <c r="AM366" t="s">
        <v>52</v>
      </c>
      <c r="AN366" t="s">
        <v>93</v>
      </c>
      <c r="AO366" t="s">
        <v>59</v>
      </c>
      <c r="AP366" t="s">
        <v>94</v>
      </c>
      <c r="AQ366" t="s">
        <v>55</v>
      </c>
    </row>
    <row r="367" spans="1:43" x14ac:dyDescent="0.3">
      <c r="A367" t="s">
        <v>43</v>
      </c>
      <c r="B367">
        <v>1999</v>
      </c>
      <c r="C367">
        <v>535</v>
      </c>
      <c r="D367">
        <v>5211</v>
      </c>
      <c r="E367">
        <v>1</v>
      </c>
      <c r="F367">
        <v>202305</v>
      </c>
      <c r="G367">
        <v>5</v>
      </c>
      <c r="H367" t="s">
        <v>56</v>
      </c>
      <c r="I367" t="s">
        <v>45</v>
      </c>
      <c r="J367">
        <v>2</v>
      </c>
      <c r="K367">
        <f t="shared" ca="1" si="56"/>
        <v>34</v>
      </c>
      <c r="L367">
        <f t="shared" ca="1" si="57"/>
        <v>57</v>
      </c>
      <c r="M367">
        <f t="shared" ca="1" si="58"/>
        <v>-52</v>
      </c>
      <c r="N367">
        <f t="shared" ca="1" si="58"/>
        <v>470</v>
      </c>
      <c r="O367">
        <f t="shared" ca="1" si="55"/>
        <v>397</v>
      </c>
      <c r="P367">
        <f t="shared" ca="1" si="59"/>
        <v>-152</v>
      </c>
      <c r="Q367">
        <f t="shared" ca="1" si="60"/>
        <v>5</v>
      </c>
      <c r="R367">
        <f t="shared" ca="1" si="61"/>
        <v>311</v>
      </c>
      <c r="S367">
        <f t="shared" ca="1" si="62"/>
        <v>171</v>
      </c>
      <c r="T367">
        <f t="shared" ca="1" si="63"/>
        <v>5848</v>
      </c>
      <c r="U367">
        <f t="shared" ca="1" si="64"/>
        <v>769</v>
      </c>
      <c r="V367">
        <v>0</v>
      </c>
      <c r="W367">
        <v>0</v>
      </c>
      <c r="X367">
        <f t="shared" ca="1" si="65"/>
        <v>94</v>
      </c>
      <c r="Y367">
        <v>0</v>
      </c>
      <c r="Z367">
        <v>0</v>
      </c>
      <c r="AA367">
        <v>1</v>
      </c>
      <c r="AB367" t="s">
        <v>64</v>
      </c>
      <c r="AD367">
        <v>1</v>
      </c>
      <c r="AE367">
        <v>52</v>
      </c>
      <c r="AF367">
        <v>2257</v>
      </c>
      <c r="AG367" t="s">
        <v>47</v>
      </c>
      <c r="AH367" t="s">
        <v>226</v>
      </c>
      <c r="AI367" t="s">
        <v>227</v>
      </c>
      <c r="AJ367" t="s">
        <v>50</v>
      </c>
      <c r="AK367" t="s">
        <v>51</v>
      </c>
      <c r="AL367">
        <v>3.6726999999999999</v>
      </c>
      <c r="AM367" t="s">
        <v>52</v>
      </c>
      <c r="AN367" t="s">
        <v>93</v>
      </c>
      <c r="AO367" t="s">
        <v>59</v>
      </c>
      <c r="AP367" t="s">
        <v>94</v>
      </c>
      <c r="AQ367" t="s">
        <v>55</v>
      </c>
    </row>
    <row r="368" spans="1:43" x14ac:dyDescent="0.3">
      <c r="A368" t="s">
        <v>43</v>
      </c>
      <c r="B368">
        <v>1999</v>
      </c>
      <c r="C368">
        <v>535</v>
      </c>
      <c r="D368">
        <v>5211</v>
      </c>
      <c r="E368">
        <v>1</v>
      </c>
      <c r="F368">
        <v>202305</v>
      </c>
      <c r="G368">
        <v>11</v>
      </c>
      <c r="H368" t="s">
        <v>56</v>
      </c>
      <c r="I368" t="s">
        <v>45</v>
      </c>
      <c r="J368">
        <v>2</v>
      </c>
      <c r="K368">
        <f t="shared" ca="1" si="56"/>
        <v>90</v>
      </c>
      <c r="L368">
        <f t="shared" ca="1" si="57"/>
        <v>59</v>
      </c>
      <c r="M368">
        <f t="shared" ca="1" si="58"/>
        <v>198</v>
      </c>
      <c r="N368">
        <f t="shared" ca="1" si="58"/>
        <v>68</v>
      </c>
      <c r="O368">
        <f t="shared" ca="1" si="55"/>
        <v>439</v>
      </c>
      <c r="P368">
        <f t="shared" ca="1" si="59"/>
        <v>1444</v>
      </c>
      <c r="Q368">
        <f t="shared" ca="1" si="60"/>
        <v>728</v>
      </c>
      <c r="R368">
        <f t="shared" ca="1" si="61"/>
        <v>310</v>
      </c>
      <c r="S368">
        <f t="shared" ca="1" si="62"/>
        <v>8372</v>
      </c>
      <c r="T368">
        <f t="shared" ca="1" si="63"/>
        <v>7986</v>
      </c>
      <c r="U368">
        <f t="shared" ca="1" si="64"/>
        <v>1057</v>
      </c>
      <c r="V368">
        <v>0</v>
      </c>
      <c r="W368">
        <v>0</v>
      </c>
      <c r="X368">
        <f t="shared" ca="1" si="65"/>
        <v>-192</v>
      </c>
      <c r="Y368">
        <v>0</v>
      </c>
      <c r="Z368">
        <v>-1</v>
      </c>
      <c r="AA368">
        <v>33</v>
      </c>
      <c r="AB368" t="s">
        <v>65</v>
      </c>
      <c r="AD368">
        <v>1</v>
      </c>
      <c r="AE368">
        <v>52</v>
      </c>
      <c r="AF368">
        <v>2257</v>
      </c>
      <c r="AG368" t="s">
        <v>47</v>
      </c>
      <c r="AH368" t="s">
        <v>226</v>
      </c>
      <c r="AI368" t="s">
        <v>227</v>
      </c>
      <c r="AJ368" t="s">
        <v>50</v>
      </c>
      <c r="AK368" t="s">
        <v>51</v>
      </c>
      <c r="AL368">
        <v>3.6726999999999999</v>
      </c>
      <c r="AM368" t="s">
        <v>52</v>
      </c>
      <c r="AN368" t="s">
        <v>93</v>
      </c>
      <c r="AO368" t="s">
        <v>59</v>
      </c>
      <c r="AP368" t="s">
        <v>94</v>
      </c>
      <c r="AQ368" t="s">
        <v>55</v>
      </c>
    </row>
    <row r="369" spans="1:43" x14ac:dyDescent="0.3">
      <c r="A369" t="s">
        <v>43</v>
      </c>
      <c r="B369">
        <v>1999</v>
      </c>
      <c r="C369">
        <v>535</v>
      </c>
      <c r="D369">
        <v>5211</v>
      </c>
      <c r="E369">
        <v>3</v>
      </c>
      <c r="F369">
        <v>202305</v>
      </c>
      <c r="G369">
        <v>1</v>
      </c>
      <c r="H369" t="s">
        <v>95</v>
      </c>
      <c r="I369" t="s">
        <v>45</v>
      </c>
      <c r="J369">
        <v>2</v>
      </c>
      <c r="K369">
        <f t="shared" ca="1" si="56"/>
        <v>8</v>
      </c>
      <c r="L369">
        <f t="shared" ca="1" si="57"/>
        <v>-43</v>
      </c>
      <c r="M369">
        <f t="shared" ca="1" si="58"/>
        <v>436</v>
      </c>
      <c r="N369">
        <f t="shared" ca="1" si="58"/>
        <v>-46</v>
      </c>
      <c r="O369">
        <f t="shared" ca="1" si="55"/>
        <v>117</v>
      </c>
      <c r="P369">
        <f t="shared" ca="1" si="59"/>
        <v>-361</v>
      </c>
      <c r="Q369">
        <f t="shared" ca="1" si="60"/>
        <v>999</v>
      </c>
      <c r="R369">
        <f t="shared" ca="1" si="61"/>
        <v>316</v>
      </c>
      <c r="S369">
        <f t="shared" ca="1" si="62"/>
        <v>6040</v>
      </c>
      <c r="T369">
        <f t="shared" ca="1" si="63"/>
        <v>2471</v>
      </c>
      <c r="U369">
        <f t="shared" ca="1" si="64"/>
        <v>294</v>
      </c>
      <c r="V369">
        <v>0</v>
      </c>
      <c r="W369">
        <v>0</v>
      </c>
      <c r="X369">
        <f t="shared" ca="1" si="65"/>
        <v>-33</v>
      </c>
      <c r="Y369">
        <v>0</v>
      </c>
      <c r="Z369">
        <v>0</v>
      </c>
      <c r="AA369">
        <v>20</v>
      </c>
      <c r="AB369" t="s">
        <v>57</v>
      </c>
      <c r="AD369">
        <v>1</v>
      </c>
      <c r="AE369">
        <v>52</v>
      </c>
      <c r="AF369">
        <v>2257</v>
      </c>
      <c r="AG369" t="s">
        <v>47</v>
      </c>
      <c r="AH369" t="s">
        <v>226</v>
      </c>
      <c r="AI369" t="s">
        <v>227</v>
      </c>
      <c r="AJ369" t="s">
        <v>50</v>
      </c>
      <c r="AK369" t="s">
        <v>51</v>
      </c>
      <c r="AL369">
        <v>3.6726999999999999</v>
      </c>
      <c r="AM369" t="s">
        <v>52</v>
      </c>
      <c r="AN369" t="s">
        <v>93</v>
      </c>
      <c r="AO369" t="s">
        <v>96</v>
      </c>
      <c r="AP369" t="s">
        <v>94</v>
      </c>
      <c r="AQ369" t="s">
        <v>55</v>
      </c>
    </row>
    <row r="370" spans="1:43" x14ac:dyDescent="0.3">
      <c r="A370" t="s">
        <v>43</v>
      </c>
      <c r="B370">
        <v>1999</v>
      </c>
      <c r="C370">
        <v>535</v>
      </c>
      <c r="D370">
        <v>5211</v>
      </c>
      <c r="E370">
        <v>3</v>
      </c>
      <c r="F370">
        <v>202305</v>
      </c>
      <c r="G370">
        <v>11</v>
      </c>
      <c r="H370" t="s">
        <v>95</v>
      </c>
      <c r="I370" t="s">
        <v>45</v>
      </c>
      <c r="J370">
        <v>2</v>
      </c>
      <c r="K370">
        <f t="shared" ca="1" si="56"/>
        <v>96</v>
      </c>
      <c r="L370">
        <f t="shared" ca="1" si="57"/>
        <v>100</v>
      </c>
      <c r="M370">
        <f t="shared" ca="1" si="58"/>
        <v>179</v>
      </c>
      <c r="N370">
        <f t="shared" ca="1" si="58"/>
        <v>219</v>
      </c>
      <c r="O370">
        <f t="shared" ca="1" si="55"/>
        <v>337</v>
      </c>
      <c r="P370">
        <f t="shared" ca="1" si="59"/>
        <v>1144</v>
      </c>
      <c r="Q370">
        <f t="shared" ca="1" si="60"/>
        <v>173</v>
      </c>
      <c r="R370">
        <f t="shared" ca="1" si="61"/>
        <v>401</v>
      </c>
      <c r="S370">
        <f t="shared" ca="1" si="62"/>
        <v>10559</v>
      </c>
      <c r="T370">
        <f t="shared" ca="1" si="63"/>
        <v>7542</v>
      </c>
      <c r="U370">
        <f t="shared" ca="1" si="64"/>
        <v>876</v>
      </c>
      <c r="V370">
        <v>0</v>
      </c>
      <c r="W370">
        <v>0</v>
      </c>
      <c r="X370">
        <f t="shared" ca="1" si="65"/>
        <v>-329</v>
      </c>
      <c r="Y370">
        <v>0</v>
      </c>
      <c r="Z370">
        <v>0</v>
      </c>
      <c r="AA370">
        <v>47</v>
      </c>
      <c r="AB370" t="s">
        <v>65</v>
      </c>
      <c r="AD370">
        <v>1</v>
      </c>
      <c r="AE370">
        <v>52</v>
      </c>
      <c r="AF370">
        <v>2257</v>
      </c>
      <c r="AG370" t="s">
        <v>47</v>
      </c>
      <c r="AH370" t="s">
        <v>226</v>
      </c>
      <c r="AI370" t="s">
        <v>227</v>
      </c>
      <c r="AJ370" t="s">
        <v>50</v>
      </c>
      <c r="AK370" t="s">
        <v>51</v>
      </c>
      <c r="AL370">
        <v>3.6726999999999999</v>
      </c>
      <c r="AM370" t="s">
        <v>52</v>
      </c>
      <c r="AN370" t="s">
        <v>93</v>
      </c>
      <c r="AO370" t="s">
        <v>96</v>
      </c>
      <c r="AP370" t="s">
        <v>94</v>
      </c>
      <c r="AQ370" t="s">
        <v>55</v>
      </c>
    </row>
    <row r="371" spans="1:43" x14ac:dyDescent="0.3">
      <c r="A371" t="s">
        <v>43</v>
      </c>
      <c r="B371">
        <v>1999</v>
      </c>
      <c r="C371">
        <v>535</v>
      </c>
      <c r="D371">
        <v>5211</v>
      </c>
      <c r="E371">
        <v>4</v>
      </c>
      <c r="F371">
        <v>202305</v>
      </c>
      <c r="G371">
        <v>100001</v>
      </c>
      <c r="H371" t="s">
        <v>228</v>
      </c>
      <c r="I371" t="s">
        <v>45</v>
      </c>
      <c r="J371">
        <v>7</v>
      </c>
      <c r="K371">
        <f t="shared" ca="1" si="56"/>
        <v>28</v>
      </c>
      <c r="L371">
        <f t="shared" ca="1" si="57"/>
        <v>-49</v>
      </c>
      <c r="M371">
        <f t="shared" ca="1" si="58"/>
        <v>318</v>
      </c>
      <c r="N371">
        <f t="shared" ca="1" si="58"/>
        <v>263</v>
      </c>
      <c r="O371">
        <f t="shared" ca="1" si="55"/>
        <v>942</v>
      </c>
      <c r="P371">
        <f t="shared" ca="1" si="59"/>
        <v>1121</v>
      </c>
      <c r="Q371">
        <f t="shared" ca="1" si="60"/>
        <v>190</v>
      </c>
      <c r="R371">
        <f t="shared" ca="1" si="61"/>
        <v>-27</v>
      </c>
      <c r="S371">
        <f t="shared" ca="1" si="62"/>
        <v>6278</v>
      </c>
      <c r="T371">
        <f t="shared" ca="1" si="63"/>
        <v>9009</v>
      </c>
      <c r="U371">
        <f t="shared" ca="1" si="64"/>
        <v>1173</v>
      </c>
      <c r="V371">
        <v>0</v>
      </c>
      <c r="W371">
        <v>0</v>
      </c>
      <c r="X371">
        <f t="shared" ca="1" si="65"/>
        <v>-213</v>
      </c>
      <c r="Y371">
        <v>0</v>
      </c>
      <c r="Z371">
        <v>0</v>
      </c>
      <c r="AA371">
        <v>0</v>
      </c>
      <c r="AB371" t="s">
        <v>57</v>
      </c>
      <c r="AC371" t="s">
        <v>67</v>
      </c>
      <c r="AD371">
        <v>1</v>
      </c>
      <c r="AE371">
        <v>52</v>
      </c>
      <c r="AF371">
        <v>2257</v>
      </c>
      <c r="AG371" t="s">
        <v>47</v>
      </c>
      <c r="AH371" t="s">
        <v>226</v>
      </c>
      <c r="AI371" t="s">
        <v>227</v>
      </c>
      <c r="AJ371" t="s">
        <v>50</v>
      </c>
      <c r="AK371" t="s">
        <v>51</v>
      </c>
      <c r="AL371">
        <v>3.6726999999999999</v>
      </c>
      <c r="AM371" t="s">
        <v>52</v>
      </c>
      <c r="AN371" t="s">
        <v>93</v>
      </c>
      <c r="AO371" t="s">
        <v>229</v>
      </c>
      <c r="AP371" t="s">
        <v>94</v>
      </c>
      <c r="AQ371" t="s">
        <v>55</v>
      </c>
    </row>
    <row r="372" spans="1:43" x14ac:dyDescent="0.3">
      <c r="A372" t="s">
        <v>43</v>
      </c>
      <c r="B372">
        <v>1999</v>
      </c>
      <c r="C372">
        <v>535</v>
      </c>
      <c r="D372">
        <v>5211</v>
      </c>
      <c r="E372">
        <v>4</v>
      </c>
      <c r="F372">
        <v>202305</v>
      </c>
      <c r="G372">
        <v>300021</v>
      </c>
      <c r="H372" t="s">
        <v>228</v>
      </c>
      <c r="I372" t="s">
        <v>45</v>
      </c>
      <c r="J372">
        <v>7</v>
      </c>
      <c r="K372">
        <f t="shared" ca="1" si="56"/>
        <v>28</v>
      </c>
      <c r="L372">
        <f t="shared" ca="1" si="57"/>
        <v>64</v>
      </c>
      <c r="M372">
        <f t="shared" ca="1" si="58"/>
        <v>454</v>
      </c>
      <c r="N372">
        <f t="shared" ca="1" si="58"/>
        <v>321</v>
      </c>
      <c r="O372">
        <f t="shared" ca="1" si="55"/>
        <v>170</v>
      </c>
      <c r="P372">
        <f t="shared" ca="1" si="59"/>
        <v>476</v>
      </c>
      <c r="Q372">
        <f t="shared" ca="1" si="60"/>
        <v>204</v>
      </c>
      <c r="R372">
        <f t="shared" ca="1" si="61"/>
        <v>408</v>
      </c>
      <c r="S372">
        <f t="shared" ca="1" si="62"/>
        <v>12075</v>
      </c>
      <c r="T372">
        <f t="shared" ca="1" si="63"/>
        <v>9734</v>
      </c>
      <c r="U372">
        <f t="shared" ca="1" si="64"/>
        <v>1080</v>
      </c>
      <c r="V372">
        <v>0</v>
      </c>
      <c r="W372">
        <v>0</v>
      </c>
      <c r="X372">
        <f t="shared" ca="1" si="65"/>
        <v>-66</v>
      </c>
      <c r="Y372">
        <v>0</v>
      </c>
      <c r="Z372">
        <v>0</v>
      </c>
      <c r="AA372">
        <v>0</v>
      </c>
      <c r="AB372" t="s">
        <v>62</v>
      </c>
      <c r="AC372" t="s">
        <v>75</v>
      </c>
      <c r="AD372">
        <v>1</v>
      </c>
      <c r="AE372">
        <v>52</v>
      </c>
      <c r="AF372">
        <v>2257</v>
      </c>
      <c r="AG372" t="s">
        <v>47</v>
      </c>
      <c r="AH372" t="s">
        <v>226</v>
      </c>
      <c r="AI372" t="s">
        <v>227</v>
      </c>
      <c r="AJ372" t="s">
        <v>50</v>
      </c>
      <c r="AK372" t="s">
        <v>51</v>
      </c>
      <c r="AL372">
        <v>3.6726999999999999</v>
      </c>
      <c r="AM372" t="s">
        <v>52</v>
      </c>
      <c r="AN372" t="s">
        <v>93</v>
      </c>
      <c r="AO372" t="s">
        <v>229</v>
      </c>
      <c r="AP372" t="s">
        <v>94</v>
      </c>
      <c r="AQ372" t="s">
        <v>55</v>
      </c>
    </row>
    <row r="373" spans="1:43" x14ac:dyDescent="0.3">
      <c r="A373" t="s">
        <v>43</v>
      </c>
      <c r="B373">
        <v>1999</v>
      </c>
      <c r="C373">
        <v>535</v>
      </c>
      <c r="D373">
        <v>5211</v>
      </c>
      <c r="E373">
        <v>4</v>
      </c>
      <c r="F373">
        <v>202305</v>
      </c>
      <c r="G373">
        <v>1100104</v>
      </c>
      <c r="H373" t="s">
        <v>228</v>
      </c>
      <c r="I373" t="s">
        <v>45</v>
      </c>
      <c r="J373">
        <v>7</v>
      </c>
      <c r="K373">
        <f t="shared" ca="1" si="56"/>
        <v>52</v>
      </c>
      <c r="L373">
        <f t="shared" ca="1" si="57"/>
        <v>44</v>
      </c>
      <c r="M373">
        <f t="shared" ca="1" si="58"/>
        <v>64</v>
      </c>
      <c r="N373">
        <f t="shared" ca="1" si="58"/>
        <v>-37</v>
      </c>
      <c r="O373">
        <f t="shared" ca="1" si="55"/>
        <v>773</v>
      </c>
      <c r="P373">
        <f t="shared" ca="1" si="59"/>
        <v>-342</v>
      </c>
      <c r="Q373">
        <f t="shared" ca="1" si="60"/>
        <v>882</v>
      </c>
      <c r="R373">
        <f t="shared" ca="1" si="61"/>
        <v>457</v>
      </c>
      <c r="S373">
        <f t="shared" ca="1" si="62"/>
        <v>65</v>
      </c>
      <c r="T373">
        <f t="shared" ca="1" si="63"/>
        <v>5249</v>
      </c>
      <c r="U373">
        <f t="shared" ca="1" si="64"/>
        <v>754</v>
      </c>
      <c r="V373">
        <v>0</v>
      </c>
      <c r="W373">
        <v>0</v>
      </c>
      <c r="X373">
        <f t="shared" ca="1" si="65"/>
        <v>-119</v>
      </c>
      <c r="Y373">
        <v>0</v>
      </c>
      <c r="Z373">
        <v>0</v>
      </c>
      <c r="AA373">
        <v>12</v>
      </c>
      <c r="AB373" t="s">
        <v>65</v>
      </c>
      <c r="AC373" t="s">
        <v>76</v>
      </c>
      <c r="AD373">
        <v>1</v>
      </c>
      <c r="AE373">
        <v>52</v>
      </c>
      <c r="AF373">
        <v>2257</v>
      </c>
      <c r="AG373" t="s">
        <v>47</v>
      </c>
      <c r="AH373" t="s">
        <v>226</v>
      </c>
      <c r="AI373" t="s">
        <v>227</v>
      </c>
      <c r="AJ373" t="s">
        <v>50</v>
      </c>
      <c r="AK373" t="s">
        <v>51</v>
      </c>
      <c r="AL373">
        <v>3.6726999999999999</v>
      </c>
      <c r="AM373" t="s">
        <v>52</v>
      </c>
      <c r="AN373" t="s">
        <v>93</v>
      </c>
      <c r="AO373" t="s">
        <v>229</v>
      </c>
      <c r="AP373" t="s">
        <v>94</v>
      </c>
      <c r="AQ373" t="s">
        <v>55</v>
      </c>
    </row>
    <row r="374" spans="1:43" x14ac:dyDescent="0.3">
      <c r="A374" t="s">
        <v>43</v>
      </c>
      <c r="B374">
        <v>1999</v>
      </c>
      <c r="C374">
        <v>535</v>
      </c>
      <c r="D374">
        <v>5211</v>
      </c>
      <c r="E374">
        <v>4</v>
      </c>
      <c r="F374">
        <v>202305</v>
      </c>
      <c r="G374">
        <v>1101210</v>
      </c>
      <c r="H374" t="s">
        <v>228</v>
      </c>
      <c r="I374" t="s">
        <v>45</v>
      </c>
      <c r="J374">
        <v>7</v>
      </c>
      <c r="K374">
        <f t="shared" ca="1" si="56"/>
        <v>7</v>
      </c>
      <c r="L374">
        <f t="shared" ca="1" si="57"/>
        <v>17</v>
      </c>
      <c r="M374">
        <f t="shared" ca="1" si="58"/>
        <v>209</v>
      </c>
      <c r="N374">
        <f t="shared" ca="1" si="58"/>
        <v>-37</v>
      </c>
      <c r="O374">
        <f t="shared" ca="1" si="55"/>
        <v>-10</v>
      </c>
      <c r="P374">
        <f t="shared" ca="1" si="59"/>
        <v>712</v>
      </c>
      <c r="Q374">
        <f t="shared" ca="1" si="60"/>
        <v>371</v>
      </c>
      <c r="R374">
        <f t="shared" ca="1" si="61"/>
        <v>435</v>
      </c>
      <c r="S374">
        <f t="shared" ca="1" si="62"/>
        <v>14513</v>
      </c>
      <c r="T374">
        <f t="shared" ca="1" si="63"/>
        <v>1257</v>
      </c>
      <c r="U374">
        <f t="shared" ca="1" si="64"/>
        <v>935</v>
      </c>
      <c r="V374">
        <v>0</v>
      </c>
      <c r="W374">
        <v>0</v>
      </c>
      <c r="X374">
        <f t="shared" ca="1" si="65"/>
        <v>-134</v>
      </c>
      <c r="Y374">
        <v>0</v>
      </c>
      <c r="Z374">
        <v>0</v>
      </c>
      <c r="AA374">
        <v>100</v>
      </c>
      <c r="AB374" t="s">
        <v>65</v>
      </c>
      <c r="AC374" t="s">
        <v>230</v>
      </c>
      <c r="AD374">
        <v>1</v>
      </c>
      <c r="AE374">
        <v>52</v>
      </c>
      <c r="AF374">
        <v>2257</v>
      </c>
      <c r="AG374" t="s">
        <v>47</v>
      </c>
      <c r="AH374" t="s">
        <v>226</v>
      </c>
      <c r="AI374" t="s">
        <v>227</v>
      </c>
      <c r="AJ374" t="s">
        <v>50</v>
      </c>
      <c r="AK374" t="s">
        <v>51</v>
      </c>
      <c r="AL374">
        <v>3.6726999999999999</v>
      </c>
      <c r="AM374" t="s">
        <v>52</v>
      </c>
      <c r="AN374" t="s">
        <v>93</v>
      </c>
      <c r="AO374" t="s">
        <v>229</v>
      </c>
      <c r="AP374" t="s">
        <v>94</v>
      </c>
      <c r="AQ374" t="s">
        <v>55</v>
      </c>
    </row>
    <row r="375" spans="1:43" x14ac:dyDescent="0.3">
      <c r="A375" t="s">
        <v>43</v>
      </c>
      <c r="B375">
        <v>1999</v>
      </c>
      <c r="C375">
        <v>535</v>
      </c>
      <c r="D375">
        <v>5211</v>
      </c>
      <c r="E375">
        <v>7</v>
      </c>
      <c r="F375">
        <v>202305</v>
      </c>
      <c r="G375">
        <v>200018</v>
      </c>
      <c r="H375" t="s">
        <v>97</v>
      </c>
      <c r="I375" t="s">
        <v>45</v>
      </c>
      <c r="J375">
        <v>7</v>
      </c>
      <c r="K375">
        <f t="shared" ca="1" si="56"/>
        <v>51</v>
      </c>
      <c r="L375">
        <f t="shared" ca="1" si="57"/>
        <v>43</v>
      </c>
      <c r="M375">
        <f t="shared" ca="1" si="58"/>
        <v>425</v>
      </c>
      <c r="N375">
        <f t="shared" ca="1" si="58"/>
        <v>-79</v>
      </c>
      <c r="O375">
        <f t="shared" ca="1" si="55"/>
        <v>436</v>
      </c>
      <c r="P375">
        <f t="shared" ca="1" si="59"/>
        <v>832</v>
      </c>
      <c r="Q375">
        <f t="shared" ca="1" si="60"/>
        <v>58</v>
      </c>
      <c r="R375">
        <f t="shared" ca="1" si="61"/>
        <v>153</v>
      </c>
      <c r="S375">
        <f t="shared" ca="1" si="62"/>
        <v>8141</v>
      </c>
      <c r="T375">
        <f t="shared" ca="1" si="63"/>
        <v>776</v>
      </c>
      <c r="U375">
        <f t="shared" ca="1" si="64"/>
        <v>5</v>
      </c>
      <c r="V375">
        <v>0</v>
      </c>
      <c r="W375">
        <v>0</v>
      </c>
      <c r="X375">
        <f t="shared" ca="1" si="65"/>
        <v>-429</v>
      </c>
      <c r="Y375">
        <v>0</v>
      </c>
      <c r="Z375">
        <v>0</v>
      </c>
      <c r="AA375">
        <v>100</v>
      </c>
      <c r="AB375" t="s">
        <v>61</v>
      </c>
      <c r="AC375" t="s">
        <v>98</v>
      </c>
      <c r="AD375">
        <v>1</v>
      </c>
      <c r="AE375">
        <v>52</v>
      </c>
      <c r="AF375">
        <v>2257</v>
      </c>
      <c r="AG375" t="s">
        <v>47</v>
      </c>
      <c r="AH375" t="s">
        <v>226</v>
      </c>
      <c r="AI375" t="s">
        <v>227</v>
      </c>
      <c r="AJ375" t="s">
        <v>50</v>
      </c>
      <c r="AK375" t="s">
        <v>51</v>
      </c>
      <c r="AL375">
        <v>3.6726999999999999</v>
      </c>
      <c r="AM375" t="s">
        <v>52</v>
      </c>
      <c r="AN375" t="s">
        <v>93</v>
      </c>
      <c r="AO375" t="s">
        <v>45</v>
      </c>
      <c r="AP375" t="s">
        <v>94</v>
      </c>
      <c r="AQ375" t="s">
        <v>55</v>
      </c>
    </row>
    <row r="376" spans="1:43" x14ac:dyDescent="0.3">
      <c r="A376" t="s">
        <v>43</v>
      </c>
      <c r="B376">
        <v>1999</v>
      </c>
      <c r="C376">
        <v>535</v>
      </c>
      <c r="D376">
        <v>5211</v>
      </c>
      <c r="E376">
        <v>7</v>
      </c>
      <c r="F376">
        <v>202305</v>
      </c>
      <c r="G376">
        <v>200028</v>
      </c>
      <c r="H376" t="s">
        <v>97</v>
      </c>
      <c r="I376" t="s">
        <v>45</v>
      </c>
      <c r="J376">
        <v>7</v>
      </c>
      <c r="K376">
        <f t="shared" ca="1" si="56"/>
        <v>45</v>
      </c>
      <c r="L376">
        <f t="shared" ca="1" si="57"/>
        <v>-4</v>
      </c>
      <c r="M376">
        <f t="shared" ca="1" si="58"/>
        <v>-79</v>
      </c>
      <c r="N376">
        <f t="shared" ca="1" si="58"/>
        <v>379</v>
      </c>
      <c r="O376">
        <f t="shared" ca="1" si="55"/>
        <v>261</v>
      </c>
      <c r="P376">
        <f t="shared" ca="1" si="59"/>
        <v>825</v>
      </c>
      <c r="Q376">
        <f t="shared" ca="1" si="60"/>
        <v>20</v>
      </c>
      <c r="R376">
        <f t="shared" ca="1" si="61"/>
        <v>-48</v>
      </c>
      <c r="S376">
        <f t="shared" ca="1" si="62"/>
        <v>6374</v>
      </c>
      <c r="T376">
        <f t="shared" ca="1" si="63"/>
        <v>-13</v>
      </c>
      <c r="U376">
        <f t="shared" ca="1" si="64"/>
        <v>1131</v>
      </c>
      <c r="V376">
        <v>0</v>
      </c>
      <c r="W376">
        <v>0</v>
      </c>
      <c r="X376">
        <f t="shared" ca="1" si="65"/>
        <v>-54</v>
      </c>
      <c r="Y376">
        <v>0</v>
      </c>
      <c r="Z376">
        <v>0</v>
      </c>
      <c r="AA376">
        <v>100</v>
      </c>
      <c r="AB376" t="s">
        <v>61</v>
      </c>
      <c r="AC376" t="s">
        <v>203</v>
      </c>
      <c r="AD376">
        <v>1</v>
      </c>
      <c r="AE376">
        <v>52</v>
      </c>
      <c r="AF376">
        <v>2257</v>
      </c>
      <c r="AG376" t="s">
        <v>47</v>
      </c>
      <c r="AH376" t="s">
        <v>226</v>
      </c>
      <c r="AI376" t="s">
        <v>227</v>
      </c>
      <c r="AJ376" t="s">
        <v>50</v>
      </c>
      <c r="AK376" t="s">
        <v>51</v>
      </c>
      <c r="AL376">
        <v>3.6726999999999999</v>
      </c>
      <c r="AM376" t="s">
        <v>52</v>
      </c>
      <c r="AN376" t="s">
        <v>93</v>
      </c>
      <c r="AO376" t="s">
        <v>45</v>
      </c>
      <c r="AP376" t="s">
        <v>94</v>
      </c>
      <c r="AQ376" t="s">
        <v>55</v>
      </c>
    </row>
    <row r="377" spans="1:43" x14ac:dyDescent="0.3">
      <c r="A377" t="s">
        <v>43</v>
      </c>
      <c r="B377">
        <v>1999</v>
      </c>
      <c r="C377">
        <v>535</v>
      </c>
      <c r="D377">
        <v>5211</v>
      </c>
      <c r="E377">
        <v>7</v>
      </c>
      <c r="F377">
        <v>202305</v>
      </c>
      <c r="G377">
        <v>300021</v>
      </c>
      <c r="H377" t="s">
        <v>97</v>
      </c>
      <c r="I377" t="s">
        <v>45</v>
      </c>
      <c r="J377">
        <v>7</v>
      </c>
      <c r="K377">
        <f t="shared" ca="1" si="56"/>
        <v>70</v>
      </c>
      <c r="L377">
        <f t="shared" ca="1" si="57"/>
        <v>-14</v>
      </c>
      <c r="M377">
        <f t="shared" ca="1" si="58"/>
        <v>-82</v>
      </c>
      <c r="N377">
        <f t="shared" ca="1" si="58"/>
        <v>162</v>
      </c>
      <c r="O377">
        <f t="shared" ca="1" si="55"/>
        <v>273</v>
      </c>
      <c r="P377">
        <f t="shared" ca="1" si="59"/>
        <v>1287</v>
      </c>
      <c r="Q377">
        <f t="shared" ca="1" si="60"/>
        <v>764</v>
      </c>
      <c r="R377">
        <f t="shared" ca="1" si="61"/>
        <v>39</v>
      </c>
      <c r="S377">
        <f t="shared" ca="1" si="62"/>
        <v>7285</v>
      </c>
      <c r="T377">
        <f t="shared" ca="1" si="63"/>
        <v>5628</v>
      </c>
      <c r="U377">
        <f t="shared" ca="1" si="64"/>
        <v>161</v>
      </c>
      <c r="V377">
        <v>0</v>
      </c>
      <c r="W377">
        <v>0</v>
      </c>
      <c r="X377">
        <f t="shared" ca="1" si="65"/>
        <v>-449</v>
      </c>
      <c r="Y377">
        <v>0</v>
      </c>
      <c r="Z377">
        <v>0</v>
      </c>
      <c r="AA377">
        <v>78</v>
      </c>
      <c r="AB377" t="s">
        <v>62</v>
      </c>
      <c r="AC377" t="s">
        <v>75</v>
      </c>
      <c r="AD377">
        <v>1</v>
      </c>
      <c r="AE377">
        <v>52</v>
      </c>
      <c r="AF377">
        <v>2257</v>
      </c>
      <c r="AG377" t="s">
        <v>47</v>
      </c>
      <c r="AH377" t="s">
        <v>226</v>
      </c>
      <c r="AI377" t="s">
        <v>227</v>
      </c>
      <c r="AJ377" t="s">
        <v>50</v>
      </c>
      <c r="AK377" t="s">
        <v>51</v>
      </c>
      <c r="AL377">
        <v>3.6726999999999999</v>
      </c>
      <c r="AM377" t="s">
        <v>52</v>
      </c>
      <c r="AN377" t="s">
        <v>93</v>
      </c>
      <c r="AO377" t="s">
        <v>45</v>
      </c>
      <c r="AP377" t="s">
        <v>94</v>
      </c>
      <c r="AQ377" t="s">
        <v>55</v>
      </c>
    </row>
    <row r="378" spans="1:43" x14ac:dyDescent="0.3">
      <c r="A378" t="s">
        <v>43</v>
      </c>
      <c r="B378">
        <v>1999</v>
      </c>
      <c r="C378">
        <v>535</v>
      </c>
      <c r="D378">
        <v>5211</v>
      </c>
      <c r="E378">
        <v>7</v>
      </c>
      <c r="F378">
        <v>202305</v>
      </c>
      <c r="G378">
        <v>1100125</v>
      </c>
      <c r="H378" t="s">
        <v>97</v>
      </c>
      <c r="I378" t="s">
        <v>45</v>
      </c>
      <c r="J378">
        <v>7</v>
      </c>
      <c r="K378">
        <f t="shared" ca="1" si="56"/>
        <v>99</v>
      </c>
      <c r="L378">
        <f t="shared" ca="1" si="57"/>
        <v>-15</v>
      </c>
      <c r="M378">
        <f t="shared" ca="1" si="58"/>
        <v>-67</v>
      </c>
      <c r="N378">
        <f t="shared" ca="1" si="58"/>
        <v>-95</v>
      </c>
      <c r="O378">
        <f t="shared" ca="1" si="55"/>
        <v>244</v>
      </c>
      <c r="P378">
        <f t="shared" ca="1" si="59"/>
        <v>725</v>
      </c>
      <c r="Q378">
        <f t="shared" ca="1" si="60"/>
        <v>899</v>
      </c>
      <c r="R378">
        <f t="shared" ca="1" si="61"/>
        <v>-79</v>
      </c>
      <c r="S378">
        <f t="shared" ca="1" si="62"/>
        <v>2692</v>
      </c>
      <c r="T378">
        <f t="shared" ca="1" si="63"/>
        <v>9402</v>
      </c>
      <c r="U378">
        <f t="shared" ca="1" si="64"/>
        <v>1264</v>
      </c>
      <c r="V378">
        <v>0</v>
      </c>
      <c r="W378">
        <v>0</v>
      </c>
      <c r="X378">
        <f t="shared" ca="1" si="65"/>
        <v>-471</v>
      </c>
      <c r="Y378">
        <v>0</v>
      </c>
      <c r="Z378">
        <v>0</v>
      </c>
      <c r="AA378">
        <v>100</v>
      </c>
      <c r="AB378" t="s">
        <v>65</v>
      </c>
      <c r="AC378" t="s">
        <v>99</v>
      </c>
      <c r="AD378">
        <v>1</v>
      </c>
      <c r="AE378">
        <v>52</v>
      </c>
      <c r="AF378">
        <v>2257</v>
      </c>
      <c r="AG378" t="s">
        <v>47</v>
      </c>
      <c r="AH378" t="s">
        <v>226</v>
      </c>
      <c r="AI378" t="s">
        <v>227</v>
      </c>
      <c r="AJ378" t="s">
        <v>50</v>
      </c>
      <c r="AK378" t="s">
        <v>51</v>
      </c>
      <c r="AL378">
        <v>3.6726999999999999</v>
      </c>
      <c r="AM378" t="s">
        <v>52</v>
      </c>
      <c r="AN378" t="s">
        <v>93</v>
      </c>
      <c r="AO378" t="s">
        <v>45</v>
      </c>
      <c r="AP378" t="s">
        <v>94</v>
      </c>
      <c r="AQ378" t="s">
        <v>55</v>
      </c>
    </row>
    <row r="379" spans="1:43" x14ac:dyDescent="0.3">
      <c r="A379" t="s">
        <v>43</v>
      </c>
      <c r="B379">
        <v>1999</v>
      </c>
      <c r="C379">
        <v>535</v>
      </c>
      <c r="D379">
        <v>5211</v>
      </c>
      <c r="E379">
        <v>7</v>
      </c>
      <c r="F379">
        <v>202305</v>
      </c>
      <c r="G379">
        <v>3100302</v>
      </c>
      <c r="H379" t="s">
        <v>97</v>
      </c>
      <c r="I379" t="s">
        <v>45</v>
      </c>
      <c r="J379">
        <v>7</v>
      </c>
      <c r="K379">
        <f t="shared" ca="1" si="56"/>
        <v>5</v>
      </c>
      <c r="L379">
        <f t="shared" ca="1" si="57"/>
        <v>-52</v>
      </c>
      <c r="M379">
        <f t="shared" ca="1" si="58"/>
        <v>498</v>
      </c>
      <c r="N379">
        <f t="shared" ca="1" si="58"/>
        <v>175</v>
      </c>
      <c r="O379">
        <f t="shared" ca="1" si="55"/>
        <v>189</v>
      </c>
      <c r="P379">
        <f t="shared" ca="1" si="59"/>
        <v>530</v>
      </c>
      <c r="Q379">
        <f t="shared" ca="1" si="60"/>
        <v>513</v>
      </c>
      <c r="R379">
        <f t="shared" ca="1" si="61"/>
        <v>271</v>
      </c>
      <c r="S379">
        <f t="shared" ca="1" si="62"/>
        <v>6311</v>
      </c>
      <c r="T379">
        <f t="shared" ca="1" si="63"/>
        <v>4047</v>
      </c>
      <c r="U379">
        <f t="shared" ca="1" si="64"/>
        <v>8</v>
      </c>
      <c r="V379">
        <v>0</v>
      </c>
      <c r="W379">
        <v>0</v>
      </c>
      <c r="X379">
        <f t="shared" ca="1" si="65"/>
        <v>-156</v>
      </c>
      <c r="Y379">
        <v>0</v>
      </c>
      <c r="Z379">
        <v>0</v>
      </c>
      <c r="AA379">
        <v>100</v>
      </c>
      <c r="AB379" t="s">
        <v>80</v>
      </c>
      <c r="AC379" t="s">
        <v>82</v>
      </c>
      <c r="AD379">
        <v>1</v>
      </c>
      <c r="AE379">
        <v>52</v>
      </c>
      <c r="AF379">
        <v>2257</v>
      </c>
      <c r="AG379" t="s">
        <v>47</v>
      </c>
      <c r="AH379" t="s">
        <v>226</v>
      </c>
      <c r="AI379" t="s">
        <v>227</v>
      </c>
      <c r="AJ379" t="s">
        <v>50</v>
      </c>
      <c r="AK379" t="s">
        <v>51</v>
      </c>
      <c r="AL379">
        <v>3.6726999999999999</v>
      </c>
      <c r="AM379" t="s">
        <v>52</v>
      </c>
      <c r="AN379" t="s">
        <v>93</v>
      </c>
      <c r="AO379" t="s">
        <v>45</v>
      </c>
      <c r="AP379" t="s">
        <v>94</v>
      </c>
      <c r="AQ379" t="s">
        <v>55</v>
      </c>
    </row>
    <row r="380" spans="1:43" x14ac:dyDescent="0.3">
      <c r="A380" t="s">
        <v>43</v>
      </c>
      <c r="B380">
        <v>1999</v>
      </c>
      <c r="C380">
        <v>535</v>
      </c>
      <c r="D380">
        <v>5211</v>
      </c>
      <c r="E380">
        <v>7</v>
      </c>
      <c r="F380">
        <v>202305</v>
      </c>
      <c r="G380">
        <v>3100303</v>
      </c>
      <c r="H380" t="s">
        <v>97</v>
      </c>
      <c r="I380" t="s">
        <v>45</v>
      </c>
      <c r="J380">
        <v>7</v>
      </c>
      <c r="K380">
        <f t="shared" ca="1" si="56"/>
        <v>83</v>
      </c>
      <c r="L380">
        <f t="shared" ca="1" si="57"/>
        <v>-16</v>
      </c>
      <c r="M380">
        <f t="shared" ca="1" si="58"/>
        <v>346</v>
      </c>
      <c r="N380">
        <f t="shared" ca="1" si="58"/>
        <v>191</v>
      </c>
      <c r="O380">
        <f t="shared" ca="1" si="55"/>
        <v>627</v>
      </c>
      <c r="P380">
        <f t="shared" ca="1" si="59"/>
        <v>1404</v>
      </c>
      <c r="Q380">
        <f t="shared" ca="1" si="60"/>
        <v>555</v>
      </c>
      <c r="R380">
        <f t="shared" ca="1" si="61"/>
        <v>285</v>
      </c>
      <c r="S380">
        <f t="shared" ca="1" si="62"/>
        <v>14153</v>
      </c>
      <c r="T380">
        <f t="shared" ca="1" si="63"/>
        <v>1956</v>
      </c>
      <c r="U380">
        <f t="shared" ca="1" si="64"/>
        <v>1187</v>
      </c>
      <c r="V380">
        <v>0</v>
      </c>
      <c r="W380">
        <v>0</v>
      </c>
      <c r="X380">
        <f t="shared" ca="1" si="65"/>
        <v>-451</v>
      </c>
      <c r="Y380">
        <v>0</v>
      </c>
      <c r="Z380">
        <v>0</v>
      </c>
      <c r="AA380">
        <v>81</v>
      </c>
      <c r="AB380" t="s">
        <v>80</v>
      </c>
      <c r="AC380" t="s">
        <v>83</v>
      </c>
      <c r="AD380">
        <v>1</v>
      </c>
      <c r="AE380">
        <v>52</v>
      </c>
      <c r="AF380">
        <v>2257</v>
      </c>
      <c r="AG380" t="s">
        <v>47</v>
      </c>
      <c r="AH380" t="s">
        <v>226</v>
      </c>
      <c r="AI380" t="s">
        <v>227</v>
      </c>
      <c r="AJ380" t="s">
        <v>50</v>
      </c>
      <c r="AK380" t="s">
        <v>51</v>
      </c>
      <c r="AL380">
        <v>3.6726999999999999</v>
      </c>
      <c r="AM380" t="s">
        <v>52</v>
      </c>
      <c r="AN380" t="s">
        <v>93</v>
      </c>
      <c r="AO380" t="s">
        <v>45</v>
      </c>
      <c r="AP380" t="s">
        <v>94</v>
      </c>
      <c r="AQ380" t="s">
        <v>55</v>
      </c>
    </row>
    <row r="381" spans="1:43" x14ac:dyDescent="0.3">
      <c r="A381" t="s">
        <v>43</v>
      </c>
      <c r="B381">
        <v>1999</v>
      </c>
      <c r="C381">
        <v>535</v>
      </c>
      <c r="D381">
        <v>5211</v>
      </c>
      <c r="E381">
        <v>7</v>
      </c>
      <c r="F381">
        <v>202305</v>
      </c>
      <c r="G381">
        <v>3100410</v>
      </c>
      <c r="H381" t="s">
        <v>97</v>
      </c>
      <c r="I381" t="s">
        <v>45</v>
      </c>
      <c r="J381">
        <v>7</v>
      </c>
      <c r="K381">
        <f t="shared" ca="1" si="56"/>
        <v>39</v>
      </c>
      <c r="L381">
        <f t="shared" ca="1" si="57"/>
        <v>-78</v>
      </c>
      <c r="M381">
        <f t="shared" ca="1" si="58"/>
        <v>136</v>
      </c>
      <c r="N381">
        <f t="shared" ca="1" si="58"/>
        <v>80</v>
      </c>
      <c r="O381">
        <f t="shared" ca="1" si="55"/>
        <v>937</v>
      </c>
      <c r="P381">
        <f t="shared" ca="1" si="59"/>
        <v>1251</v>
      </c>
      <c r="Q381">
        <f t="shared" ca="1" si="60"/>
        <v>1157</v>
      </c>
      <c r="R381">
        <f t="shared" ca="1" si="61"/>
        <v>458</v>
      </c>
      <c r="S381">
        <f t="shared" ca="1" si="62"/>
        <v>3870</v>
      </c>
      <c r="T381">
        <f t="shared" ca="1" si="63"/>
        <v>4678</v>
      </c>
      <c r="U381">
        <f t="shared" ca="1" si="64"/>
        <v>499</v>
      </c>
      <c r="V381">
        <v>0</v>
      </c>
      <c r="W381">
        <v>0</v>
      </c>
      <c r="X381">
        <f t="shared" ca="1" si="65"/>
        <v>-209</v>
      </c>
      <c r="Y381">
        <v>0</v>
      </c>
      <c r="Z381">
        <v>0</v>
      </c>
      <c r="AA381">
        <v>14</v>
      </c>
      <c r="AB381" t="s">
        <v>80</v>
      </c>
      <c r="AC381" t="s">
        <v>100</v>
      </c>
      <c r="AD381">
        <v>1</v>
      </c>
      <c r="AE381">
        <v>52</v>
      </c>
      <c r="AF381">
        <v>2257</v>
      </c>
      <c r="AG381" t="s">
        <v>47</v>
      </c>
      <c r="AH381" t="s">
        <v>226</v>
      </c>
      <c r="AI381" t="s">
        <v>227</v>
      </c>
      <c r="AJ381" t="s">
        <v>50</v>
      </c>
      <c r="AK381" t="s">
        <v>51</v>
      </c>
      <c r="AL381">
        <v>3.6726999999999999</v>
      </c>
      <c r="AM381" t="s">
        <v>52</v>
      </c>
      <c r="AN381" t="s">
        <v>93</v>
      </c>
      <c r="AO381" t="s">
        <v>45</v>
      </c>
      <c r="AP381" t="s">
        <v>94</v>
      </c>
      <c r="AQ381" t="s">
        <v>55</v>
      </c>
    </row>
    <row r="382" spans="1:43" x14ac:dyDescent="0.3">
      <c r="A382" t="s">
        <v>43</v>
      </c>
      <c r="B382">
        <v>1999</v>
      </c>
      <c r="C382">
        <v>535</v>
      </c>
      <c r="D382">
        <v>5211</v>
      </c>
      <c r="E382">
        <v>7</v>
      </c>
      <c r="F382">
        <v>202305</v>
      </c>
      <c r="G382">
        <v>3100411</v>
      </c>
      <c r="H382" t="s">
        <v>97</v>
      </c>
      <c r="I382" t="s">
        <v>45</v>
      </c>
      <c r="J382">
        <v>7</v>
      </c>
      <c r="K382">
        <f t="shared" ca="1" si="56"/>
        <v>86</v>
      </c>
      <c r="L382">
        <f t="shared" ca="1" si="57"/>
        <v>99</v>
      </c>
      <c r="M382">
        <f t="shared" ca="1" si="58"/>
        <v>5</v>
      </c>
      <c r="N382">
        <f t="shared" ca="1" si="58"/>
        <v>76</v>
      </c>
      <c r="O382">
        <f t="shared" ca="1" si="55"/>
        <v>636</v>
      </c>
      <c r="P382">
        <f t="shared" ca="1" si="59"/>
        <v>-133</v>
      </c>
      <c r="Q382">
        <f t="shared" ca="1" si="60"/>
        <v>1066</v>
      </c>
      <c r="R382">
        <f t="shared" ca="1" si="61"/>
        <v>305</v>
      </c>
      <c r="S382">
        <f t="shared" ca="1" si="62"/>
        <v>175</v>
      </c>
      <c r="T382">
        <f t="shared" ca="1" si="63"/>
        <v>7303</v>
      </c>
      <c r="U382">
        <f t="shared" ca="1" si="64"/>
        <v>660</v>
      </c>
      <c r="V382">
        <v>0</v>
      </c>
      <c r="W382">
        <v>0</v>
      </c>
      <c r="X382">
        <f t="shared" ca="1" si="65"/>
        <v>46</v>
      </c>
      <c r="Y382">
        <v>0</v>
      </c>
      <c r="Z382">
        <v>0</v>
      </c>
      <c r="AA382">
        <v>26</v>
      </c>
      <c r="AB382" t="s">
        <v>80</v>
      </c>
      <c r="AC382" t="s">
        <v>101</v>
      </c>
      <c r="AD382">
        <v>1</v>
      </c>
      <c r="AE382">
        <v>52</v>
      </c>
      <c r="AF382">
        <v>2257</v>
      </c>
      <c r="AG382" t="s">
        <v>47</v>
      </c>
      <c r="AH382" t="s">
        <v>226</v>
      </c>
      <c r="AI382" t="s">
        <v>227</v>
      </c>
      <c r="AJ382" t="s">
        <v>50</v>
      </c>
      <c r="AK382" t="s">
        <v>51</v>
      </c>
      <c r="AL382">
        <v>3.6726999999999999</v>
      </c>
      <c r="AM382" t="s">
        <v>52</v>
      </c>
      <c r="AN382" t="s">
        <v>93</v>
      </c>
      <c r="AO382" t="s">
        <v>45</v>
      </c>
      <c r="AP382" t="s">
        <v>94</v>
      </c>
      <c r="AQ382" t="s">
        <v>55</v>
      </c>
    </row>
    <row r="383" spans="1:43" x14ac:dyDescent="0.3">
      <c r="A383" t="s">
        <v>43</v>
      </c>
      <c r="B383">
        <v>1999</v>
      </c>
      <c r="C383">
        <v>535</v>
      </c>
      <c r="D383">
        <v>5211</v>
      </c>
      <c r="E383">
        <v>8</v>
      </c>
      <c r="F383">
        <v>202305</v>
      </c>
      <c r="G383">
        <v>1</v>
      </c>
      <c r="H383" t="s">
        <v>102</v>
      </c>
      <c r="I383" t="s">
        <v>45</v>
      </c>
      <c r="J383">
        <v>2</v>
      </c>
      <c r="K383">
        <f t="shared" ca="1" si="56"/>
        <v>61</v>
      </c>
      <c r="L383">
        <f t="shared" ca="1" si="57"/>
        <v>-14</v>
      </c>
      <c r="M383">
        <f t="shared" ca="1" si="58"/>
        <v>440</v>
      </c>
      <c r="N383">
        <f t="shared" ca="1" si="58"/>
        <v>356</v>
      </c>
      <c r="O383">
        <f t="shared" ca="1" si="55"/>
        <v>674</v>
      </c>
      <c r="P383">
        <f t="shared" ca="1" si="59"/>
        <v>758</v>
      </c>
      <c r="Q383">
        <f t="shared" ca="1" si="60"/>
        <v>904</v>
      </c>
      <c r="R383">
        <f t="shared" ca="1" si="61"/>
        <v>-64</v>
      </c>
      <c r="S383">
        <f t="shared" ca="1" si="62"/>
        <v>14156</v>
      </c>
      <c r="T383">
        <f t="shared" ca="1" si="63"/>
        <v>744</v>
      </c>
      <c r="U383">
        <f t="shared" ca="1" si="64"/>
        <v>342</v>
      </c>
      <c r="V383">
        <v>0</v>
      </c>
      <c r="W383">
        <v>0</v>
      </c>
      <c r="X383">
        <f t="shared" ca="1" si="65"/>
        <v>-74</v>
      </c>
      <c r="Y383">
        <v>0</v>
      </c>
      <c r="Z383">
        <v>0</v>
      </c>
      <c r="AA383">
        <v>0</v>
      </c>
      <c r="AB383" t="s">
        <v>57</v>
      </c>
      <c r="AD383">
        <v>1</v>
      </c>
      <c r="AE383">
        <v>52</v>
      </c>
      <c r="AF383">
        <v>2257</v>
      </c>
      <c r="AG383" t="s">
        <v>47</v>
      </c>
      <c r="AH383" t="s">
        <v>226</v>
      </c>
      <c r="AI383" t="s">
        <v>227</v>
      </c>
      <c r="AJ383" t="s">
        <v>50</v>
      </c>
      <c r="AK383" t="s">
        <v>51</v>
      </c>
      <c r="AL383">
        <v>3.6726999999999999</v>
      </c>
      <c r="AM383" t="s">
        <v>52</v>
      </c>
      <c r="AN383" t="s">
        <v>93</v>
      </c>
      <c r="AO383" t="s">
        <v>103</v>
      </c>
      <c r="AP383" t="s">
        <v>94</v>
      </c>
      <c r="AQ383" t="s">
        <v>55</v>
      </c>
    </row>
    <row r="384" spans="1:43" x14ac:dyDescent="0.3">
      <c r="A384" t="s">
        <v>43</v>
      </c>
      <c r="B384">
        <v>1999</v>
      </c>
      <c r="C384">
        <v>535</v>
      </c>
      <c r="D384">
        <v>5211</v>
      </c>
      <c r="E384">
        <v>8</v>
      </c>
      <c r="F384">
        <v>202305</v>
      </c>
      <c r="G384">
        <v>2</v>
      </c>
      <c r="H384" t="s">
        <v>102</v>
      </c>
      <c r="I384" t="s">
        <v>45</v>
      </c>
      <c r="J384">
        <v>2</v>
      </c>
      <c r="K384">
        <f t="shared" ca="1" si="56"/>
        <v>14</v>
      </c>
      <c r="L384">
        <f t="shared" ca="1" si="57"/>
        <v>6</v>
      </c>
      <c r="M384">
        <f t="shared" ca="1" si="58"/>
        <v>-5</v>
      </c>
      <c r="N384">
        <f t="shared" ca="1" si="58"/>
        <v>433</v>
      </c>
      <c r="O384">
        <f t="shared" ca="1" si="55"/>
        <v>263</v>
      </c>
      <c r="P384">
        <f t="shared" ca="1" si="59"/>
        <v>1467</v>
      </c>
      <c r="Q384">
        <f t="shared" ca="1" si="60"/>
        <v>383</v>
      </c>
      <c r="R384">
        <f t="shared" ca="1" si="61"/>
        <v>188</v>
      </c>
      <c r="S384">
        <f t="shared" ca="1" si="62"/>
        <v>12963</v>
      </c>
      <c r="T384">
        <f t="shared" ca="1" si="63"/>
        <v>5121</v>
      </c>
      <c r="U384">
        <f t="shared" ca="1" si="64"/>
        <v>1264</v>
      </c>
      <c r="V384">
        <v>0</v>
      </c>
      <c r="W384">
        <v>0</v>
      </c>
      <c r="X384">
        <f t="shared" ca="1" si="65"/>
        <v>-398</v>
      </c>
      <c r="Y384">
        <v>0</v>
      </c>
      <c r="Z384">
        <v>-1</v>
      </c>
      <c r="AA384">
        <v>0</v>
      </c>
      <c r="AB384" t="s">
        <v>61</v>
      </c>
      <c r="AD384">
        <v>1</v>
      </c>
      <c r="AE384">
        <v>52</v>
      </c>
      <c r="AF384">
        <v>2257</v>
      </c>
      <c r="AG384" t="s">
        <v>47</v>
      </c>
      <c r="AH384" t="s">
        <v>226</v>
      </c>
      <c r="AI384" t="s">
        <v>227</v>
      </c>
      <c r="AJ384" t="s">
        <v>50</v>
      </c>
      <c r="AK384" t="s">
        <v>51</v>
      </c>
      <c r="AL384">
        <v>3.6726999999999999</v>
      </c>
      <c r="AM384" t="s">
        <v>52</v>
      </c>
      <c r="AN384" t="s">
        <v>93</v>
      </c>
      <c r="AO384" t="s">
        <v>103</v>
      </c>
      <c r="AP384" t="s">
        <v>94</v>
      </c>
      <c r="AQ384" t="s">
        <v>55</v>
      </c>
    </row>
    <row r="385" spans="1:43" x14ac:dyDescent="0.3">
      <c r="A385" t="s">
        <v>43</v>
      </c>
      <c r="B385">
        <v>1999</v>
      </c>
      <c r="C385">
        <v>535</v>
      </c>
      <c r="D385">
        <v>5211</v>
      </c>
      <c r="E385">
        <v>8</v>
      </c>
      <c r="F385">
        <v>202305</v>
      </c>
      <c r="G385">
        <v>3</v>
      </c>
      <c r="H385" t="s">
        <v>102</v>
      </c>
      <c r="I385" t="s">
        <v>45</v>
      </c>
      <c r="J385">
        <v>2</v>
      </c>
      <c r="K385">
        <f t="shared" ca="1" si="56"/>
        <v>95</v>
      </c>
      <c r="L385">
        <f t="shared" ca="1" si="57"/>
        <v>83</v>
      </c>
      <c r="M385">
        <f t="shared" ca="1" si="58"/>
        <v>348</v>
      </c>
      <c r="N385">
        <f t="shared" ca="1" si="58"/>
        <v>83</v>
      </c>
      <c r="O385">
        <f t="shared" ca="1" si="55"/>
        <v>692</v>
      </c>
      <c r="P385">
        <f t="shared" ca="1" si="59"/>
        <v>1442</v>
      </c>
      <c r="Q385">
        <f t="shared" ca="1" si="60"/>
        <v>1067</v>
      </c>
      <c r="R385">
        <f t="shared" ca="1" si="61"/>
        <v>246</v>
      </c>
      <c r="S385">
        <f t="shared" ca="1" si="62"/>
        <v>1564</v>
      </c>
      <c r="T385">
        <f t="shared" ca="1" si="63"/>
        <v>4648</v>
      </c>
      <c r="U385">
        <f t="shared" ca="1" si="64"/>
        <v>635</v>
      </c>
      <c r="V385">
        <v>0</v>
      </c>
      <c r="W385">
        <v>0</v>
      </c>
      <c r="X385">
        <f t="shared" ca="1" si="65"/>
        <v>-286</v>
      </c>
      <c r="Y385">
        <v>0</v>
      </c>
      <c r="Z385">
        <v>0</v>
      </c>
      <c r="AA385">
        <v>0</v>
      </c>
      <c r="AB385" t="s">
        <v>62</v>
      </c>
      <c r="AD385">
        <v>1</v>
      </c>
      <c r="AE385">
        <v>52</v>
      </c>
      <c r="AF385">
        <v>2257</v>
      </c>
      <c r="AG385" t="s">
        <v>47</v>
      </c>
      <c r="AH385" t="s">
        <v>226</v>
      </c>
      <c r="AI385" t="s">
        <v>227</v>
      </c>
      <c r="AJ385" t="s">
        <v>50</v>
      </c>
      <c r="AK385" t="s">
        <v>51</v>
      </c>
      <c r="AL385">
        <v>3.6726999999999999</v>
      </c>
      <c r="AM385" t="s">
        <v>52</v>
      </c>
      <c r="AN385" t="s">
        <v>93</v>
      </c>
      <c r="AO385" t="s">
        <v>103</v>
      </c>
      <c r="AP385" t="s">
        <v>94</v>
      </c>
      <c r="AQ385" t="s">
        <v>55</v>
      </c>
    </row>
    <row r="386" spans="1:43" x14ac:dyDescent="0.3">
      <c r="A386" t="s">
        <v>43</v>
      </c>
      <c r="B386">
        <v>1999</v>
      </c>
      <c r="C386">
        <v>535</v>
      </c>
      <c r="D386">
        <v>5211</v>
      </c>
      <c r="E386">
        <v>8</v>
      </c>
      <c r="F386">
        <v>202305</v>
      </c>
      <c r="G386">
        <v>4</v>
      </c>
      <c r="H386" t="s">
        <v>102</v>
      </c>
      <c r="I386" t="s">
        <v>45</v>
      </c>
      <c r="J386">
        <v>2</v>
      </c>
      <c r="K386">
        <f t="shared" ca="1" si="56"/>
        <v>91</v>
      </c>
      <c r="L386">
        <f t="shared" ca="1" si="57"/>
        <v>-6</v>
      </c>
      <c r="M386">
        <f t="shared" ca="1" si="58"/>
        <v>482</v>
      </c>
      <c r="N386">
        <f t="shared" ca="1" si="58"/>
        <v>450</v>
      </c>
      <c r="O386">
        <f t="shared" ref="O386:O449" ca="1" si="66">RANDBETWEEN(-100, 1000)</f>
        <v>28</v>
      </c>
      <c r="P386">
        <f t="shared" ca="1" si="59"/>
        <v>311</v>
      </c>
      <c r="Q386">
        <f t="shared" ca="1" si="60"/>
        <v>1017</v>
      </c>
      <c r="R386">
        <f t="shared" ca="1" si="61"/>
        <v>417</v>
      </c>
      <c r="S386">
        <f t="shared" ca="1" si="62"/>
        <v>13853</v>
      </c>
      <c r="T386">
        <f t="shared" ca="1" si="63"/>
        <v>3178</v>
      </c>
      <c r="U386">
        <f t="shared" ca="1" si="64"/>
        <v>74</v>
      </c>
      <c r="V386">
        <v>0</v>
      </c>
      <c r="W386">
        <v>0</v>
      </c>
      <c r="X386">
        <f t="shared" ca="1" si="65"/>
        <v>13</v>
      </c>
      <c r="Y386">
        <v>0</v>
      </c>
      <c r="Z386">
        <v>1</v>
      </c>
      <c r="AA386">
        <v>0</v>
      </c>
      <c r="AB386" t="s">
        <v>63</v>
      </c>
      <c r="AD386">
        <v>1</v>
      </c>
      <c r="AE386">
        <v>52</v>
      </c>
      <c r="AF386">
        <v>2257</v>
      </c>
      <c r="AG386" t="s">
        <v>47</v>
      </c>
      <c r="AH386" t="s">
        <v>226</v>
      </c>
      <c r="AI386" t="s">
        <v>227</v>
      </c>
      <c r="AJ386" t="s">
        <v>50</v>
      </c>
      <c r="AK386" t="s">
        <v>51</v>
      </c>
      <c r="AL386">
        <v>3.6726999999999999</v>
      </c>
      <c r="AM386" t="s">
        <v>52</v>
      </c>
      <c r="AN386" t="s">
        <v>93</v>
      </c>
      <c r="AO386" t="s">
        <v>103</v>
      </c>
      <c r="AP386" t="s">
        <v>94</v>
      </c>
      <c r="AQ386" t="s">
        <v>55</v>
      </c>
    </row>
    <row r="387" spans="1:43" x14ac:dyDescent="0.3">
      <c r="A387" t="s">
        <v>43</v>
      </c>
      <c r="B387">
        <v>1999</v>
      </c>
      <c r="C387">
        <v>535</v>
      </c>
      <c r="D387">
        <v>5211</v>
      </c>
      <c r="E387">
        <v>10</v>
      </c>
      <c r="F387">
        <v>202305</v>
      </c>
      <c r="G387">
        <v>1100103</v>
      </c>
      <c r="H387" t="s">
        <v>160</v>
      </c>
      <c r="I387" t="s">
        <v>45</v>
      </c>
      <c r="J387">
        <v>7</v>
      </c>
      <c r="K387">
        <f t="shared" ref="K387:K450" ca="1" si="67">RANDBETWEEN(0, 100)</f>
        <v>9</v>
      </c>
      <c r="L387">
        <f t="shared" ref="L387:L450" ca="1" si="68">RANDBETWEEN(-100, 100)</f>
        <v>-8</v>
      </c>
      <c r="M387">
        <f t="shared" ref="M387:N450" ca="1" si="69">RANDBETWEEN(-100, 500)</f>
        <v>309</v>
      </c>
      <c r="N387">
        <f t="shared" ca="1" si="69"/>
        <v>60</v>
      </c>
      <c r="O387">
        <f t="shared" ca="1" si="66"/>
        <v>46</v>
      </c>
      <c r="P387">
        <f t="shared" ref="P387:P450" ca="1" si="70">RANDBETWEEN(-500, 1500)</f>
        <v>1083</v>
      </c>
      <c r="Q387">
        <f t="shared" ref="Q387:Q450" ca="1" si="71">RANDBETWEEN(0,1200)</f>
        <v>699</v>
      </c>
      <c r="R387">
        <f t="shared" ref="R387:R450" ca="1" si="72">RANDBETWEEN(-100, 500)</f>
        <v>207</v>
      </c>
      <c r="S387">
        <f t="shared" ref="S387:S450" ca="1" si="73">RANDBETWEEN(-100, 15000)</f>
        <v>1909</v>
      </c>
      <c r="T387">
        <f t="shared" ref="T387:T450" ca="1" si="74">RANDBETWEEN(-100, 10000)</f>
        <v>2617</v>
      </c>
      <c r="U387">
        <f t="shared" ref="U387:U450" ca="1" si="75">RANDBETWEEN(-100, 1300)</f>
        <v>35</v>
      </c>
      <c r="V387">
        <v>0</v>
      </c>
      <c r="W387">
        <v>0</v>
      </c>
      <c r="X387">
        <f t="shared" ref="X387:X450" ca="1" si="76">RANDBETWEEN(-500, 100)</f>
        <v>-217</v>
      </c>
      <c r="Y387">
        <v>0</v>
      </c>
      <c r="Z387">
        <v>0</v>
      </c>
      <c r="AA387">
        <v>0</v>
      </c>
      <c r="AB387" t="s">
        <v>65</v>
      </c>
      <c r="AC387" t="s">
        <v>166</v>
      </c>
      <c r="AD387">
        <v>1</v>
      </c>
      <c r="AE387">
        <v>52</v>
      </c>
      <c r="AF387">
        <v>2257</v>
      </c>
      <c r="AG387" t="s">
        <v>47</v>
      </c>
      <c r="AH387" t="s">
        <v>226</v>
      </c>
      <c r="AI387" t="s">
        <v>227</v>
      </c>
      <c r="AJ387" t="s">
        <v>50</v>
      </c>
      <c r="AK387" t="s">
        <v>51</v>
      </c>
      <c r="AL387">
        <v>3.6726999999999999</v>
      </c>
      <c r="AM387" t="s">
        <v>52</v>
      </c>
      <c r="AN387" t="s">
        <v>93</v>
      </c>
      <c r="AO387" t="s">
        <v>163</v>
      </c>
      <c r="AP387" t="s">
        <v>94</v>
      </c>
      <c r="AQ387" t="s">
        <v>55</v>
      </c>
    </row>
    <row r="388" spans="1:43" x14ac:dyDescent="0.3">
      <c r="A388" t="s">
        <v>43</v>
      </c>
      <c r="B388">
        <v>1999</v>
      </c>
      <c r="C388">
        <v>535</v>
      </c>
      <c r="D388">
        <v>5211</v>
      </c>
      <c r="E388">
        <v>10</v>
      </c>
      <c r="F388">
        <v>202305</v>
      </c>
      <c r="G388">
        <v>1100106</v>
      </c>
      <c r="H388" t="s">
        <v>160</v>
      </c>
      <c r="I388" t="s">
        <v>45</v>
      </c>
      <c r="J388">
        <v>7</v>
      </c>
      <c r="K388">
        <f t="shared" ca="1" si="67"/>
        <v>77</v>
      </c>
      <c r="L388">
        <f t="shared" ca="1" si="68"/>
        <v>-34</v>
      </c>
      <c r="M388">
        <f t="shared" ca="1" si="69"/>
        <v>369</v>
      </c>
      <c r="N388">
        <f t="shared" ca="1" si="69"/>
        <v>34</v>
      </c>
      <c r="O388">
        <f t="shared" ca="1" si="66"/>
        <v>359</v>
      </c>
      <c r="P388">
        <f t="shared" ca="1" si="70"/>
        <v>871</v>
      </c>
      <c r="Q388">
        <f t="shared" ca="1" si="71"/>
        <v>441</v>
      </c>
      <c r="R388">
        <f t="shared" ca="1" si="72"/>
        <v>351</v>
      </c>
      <c r="S388">
        <f t="shared" ca="1" si="73"/>
        <v>12717</v>
      </c>
      <c r="T388">
        <f t="shared" ca="1" si="74"/>
        <v>2949</v>
      </c>
      <c r="U388">
        <f t="shared" ca="1" si="75"/>
        <v>528</v>
      </c>
      <c r="V388">
        <v>0</v>
      </c>
      <c r="W388">
        <v>0</v>
      </c>
      <c r="X388">
        <f t="shared" ca="1" si="76"/>
        <v>17</v>
      </c>
      <c r="Y388">
        <v>0</v>
      </c>
      <c r="Z388">
        <v>0</v>
      </c>
      <c r="AA388">
        <v>0</v>
      </c>
      <c r="AB388" t="s">
        <v>65</v>
      </c>
      <c r="AC388" t="s">
        <v>168</v>
      </c>
      <c r="AD388">
        <v>1</v>
      </c>
      <c r="AE388">
        <v>52</v>
      </c>
      <c r="AF388">
        <v>2257</v>
      </c>
      <c r="AG388" t="s">
        <v>47</v>
      </c>
      <c r="AH388" t="s">
        <v>226</v>
      </c>
      <c r="AI388" t="s">
        <v>227</v>
      </c>
      <c r="AJ388" t="s">
        <v>50</v>
      </c>
      <c r="AK388" t="s">
        <v>51</v>
      </c>
      <c r="AL388">
        <v>3.6726999999999999</v>
      </c>
      <c r="AM388" t="s">
        <v>52</v>
      </c>
      <c r="AN388" t="s">
        <v>93</v>
      </c>
      <c r="AO388" t="s">
        <v>163</v>
      </c>
      <c r="AP388" t="s">
        <v>94</v>
      </c>
      <c r="AQ388" t="s">
        <v>55</v>
      </c>
    </row>
    <row r="389" spans="1:43" x14ac:dyDescent="0.3">
      <c r="A389" t="s">
        <v>43</v>
      </c>
      <c r="B389">
        <v>1999</v>
      </c>
      <c r="C389">
        <v>535</v>
      </c>
      <c r="D389">
        <v>5211</v>
      </c>
      <c r="E389">
        <v>10</v>
      </c>
      <c r="F389">
        <v>202305</v>
      </c>
      <c r="G389">
        <v>1100107</v>
      </c>
      <c r="H389" t="s">
        <v>160</v>
      </c>
      <c r="I389" t="s">
        <v>45</v>
      </c>
      <c r="J389">
        <v>7</v>
      </c>
      <c r="K389">
        <f t="shared" ca="1" si="67"/>
        <v>0</v>
      </c>
      <c r="L389">
        <f t="shared" ca="1" si="68"/>
        <v>66</v>
      </c>
      <c r="M389">
        <f t="shared" ca="1" si="69"/>
        <v>-85</v>
      </c>
      <c r="N389">
        <f t="shared" ca="1" si="69"/>
        <v>-74</v>
      </c>
      <c r="O389">
        <f t="shared" ca="1" si="66"/>
        <v>349</v>
      </c>
      <c r="P389">
        <f t="shared" ca="1" si="70"/>
        <v>-8</v>
      </c>
      <c r="Q389">
        <f t="shared" ca="1" si="71"/>
        <v>959</v>
      </c>
      <c r="R389">
        <f t="shared" ca="1" si="72"/>
        <v>106</v>
      </c>
      <c r="S389">
        <f t="shared" ca="1" si="73"/>
        <v>1282</v>
      </c>
      <c r="T389">
        <f t="shared" ca="1" si="74"/>
        <v>7885</v>
      </c>
      <c r="U389">
        <f t="shared" ca="1" si="75"/>
        <v>1169</v>
      </c>
      <c r="V389">
        <v>0</v>
      </c>
      <c r="W389">
        <v>0</v>
      </c>
      <c r="X389">
        <f t="shared" ca="1" si="76"/>
        <v>-216</v>
      </c>
      <c r="Y389">
        <v>0</v>
      </c>
      <c r="Z389">
        <v>0</v>
      </c>
      <c r="AA389">
        <v>0</v>
      </c>
      <c r="AB389" t="s">
        <v>65</v>
      </c>
      <c r="AC389" t="s">
        <v>169</v>
      </c>
      <c r="AD389">
        <v>1</v>
      </c>
      <c r="AE389">
        <v>52</v>
      </c>
      <c r="AF389">
        <v>2257</v>
      </c>
      <c r="AG389" t="s">
        <v>47</v>
      </c>
      <c r="AH389" t="s">
        <v>226</v>
      </c>
      <c r="AI389" t="s">
        <v>227</v>
      </c>
      <c r="AJ389" t="s">
        <v>50</v>
      </c>
      <c r="AK389" t="s">
        <v>51</v>
      </c>
      <c r="AL389">
        <v>3.6726999999999999</v>
      </c>
      <c r="AM389" t="s">
        <v>52</v>
      </c>
      <c r="AN389" t="s">
        <v>93</v>
      </c>
      <c r="AO389" t="s">
        <v>163</v>
      </c>
      <c r="AP389" t="s">
        <v>94</v>
      </c>
      <c r="AQ389" t="s">
        <v>55</v>
      </c>
    </row>
    <row r="390" spans="1:43" x14ac:dyDescent="0.3">
      <c r="A390" t="s">
        <v>43</v>
      </c>
      <c r="B390">
        <v>1999</v>
      </c>
      <c r="C390">
        <v>535</v>
      </c>
      <c r="D390">
        <v>5211</v>
      </c>
      <c r="E390">
        <v>10</v>
      </c>
      <c r="F390">
        <v>202305</v>
      </c>
      <c r="G390">
        <v>1100110</v>
      </c>
      <c r="H390" t="s">
        <v>160</v>
      </c>
      <c r="I390" t="s">
        <v>45</v>
      </c>
      <c r="J390">
        <v>7</v>
      </c>
      <c r="K390">
        <f t="shared" ca="1" si="67"/>
        <v>54</v>
      </c>
      <c r="L390">
        <f t="shared" ca="1" si="68"/>
        <v>-39</v>
      </c>
      <c r="M390">
        <f t="shared" ca="1" si="69"/>
        <v>327</v>
      </c>
      <c r="N390">
        <f t="shared" ca="1" si="69"/>
        <v>46</v>
      </c>
      <c r="O390">
        <f t="shared" ca="1" si="66"/>
        <v>-14</v>
      </c>
      <c r="P390">
        <f t="shared" ca="1" si="70"/>
        <v>-110</v>
      </c>
      <c r="Q390">
        <f t="shared" ca="1" si="71"/>
        <v>677</v>
      </c>
      <c r="R390">
        <f t="shared" ca="1" si="72"/>
        <v>161</v>
      </c>
      <c r="S390">
        <f t="shared" ca="1" si="73"/>
        <v>215</v>
      </c>
      <c r="T390">
        <f t="shared" ca="1" si="74"/>
        <v>1845</v>
      </c>
      <c r="U390">
        <f t="shared" ca="1" si="75"/>
        <v>1117</v>
      </c>
      <c r="V390">
        <v>0</v>
      </c>
      <c r="W390">
        <v>0</v>
      </c>
      <c r="X390">
        <f t="shared" ca="1" si="76"/>
        <v>-58</v>
      </c>
      <c r="Y390">
        <v>0</v>
      </c>
      <c r="Z390">
        <v>0</v>
      </c>
      <c r="AA390">
        <v>0</v>
      </c>
      <c r="AB390" t="s">
        <v>65</v>
      </c>
      <c r="AC390" t="s">
        <v>172</v>
      </c>
      <c r="AD390">
        <v>1</v>
      </c>
      <c r="AE390">
        <v>52</v>
      </c>
      <c r="AF390">
        <v>2257</v>
      </c>
      <c r="AG390" t="s">
        <v>47</v>
      </c>
      <c r="AH390" t="s">
        <v>226</v>
      </c>
      <c r="AI390" t="s">
        <v>227</v>
      </c>
      <c r="AJ390" t="s">
        <v>50</v>
      </c>
      <c r="AK390" t="s">
        <v>51</v>
      </c>
      <c r="AL390">
        <v>3.6726999999999999</v>
      </c>
      <c r="AM390" t="s">
        <v>52</v>
      </c>
      <c r="AN390" t="s">
        <v>93</v>
      </c>
      <c r="AO390" t="s">
        <v>163</v>
      </c>
      <c r="AP390" t="s">
        <v>94</v>
      </c>
      <c r="AQ390" t="s">
        <v>55</v>
      </c>
    </row>
    <row r="391" spans="1:43" x14ac:dyDescent="0.3">
      <c r="A391" t="s">
        <v>43</v>
      </c>
      <c r="B391">
        <v>1999</v>
      </c>
      <c r="C391">
        <v>535</v>
      </c>
      <c r="D391">
        <v>5211</v>
      </c>
      <c r="E391">
        <v>15</v>
      </c>
      <c r="F391">
        <v>202305</v>
      </c>
      <c r="G391">
        <v>200019</v>
      </c>
      <c r="H391" t="s">
        <v>104</v>
      </c>
      <c r="I391" t="s">
        <v>45</v>
      </c>
      <c r="J391">
        <v>7</v>
      </c>
      <c r="K391">
        <f t="shared" ca="1" si="67"/>
        <v>93</v>
      </c>
      <c r="L391">
        <f t="shared" ca="1" si="68"/>
        <v>8</v>
      </c>
      <c r="M391">
        <f t="shared" ca="1" si="69"/>
        <v>401</v>
      </c>
      <c r="N391">
        <f t="shared" ca="1" si="69"/>
        <v>482</v>
      </c>
      <c r="O391">
        <f t="shared" ca="1" si="66"/>
        <v>178</v>
      </c>
      <c r="P391">
        <f t="shared" ca="1" si="70"/>
        <v>101</v>
      </c>
      <c r="Q391">
        <f t="shared" ca="1" si="71"/>
        <v>265</v>
      </c>
      <c r="R391">
        <f t="shared" ca="1" si="72"/>
        <v>0</v>
      </c>
      <c r="S391">
        <f t="shared" ca="1" si="73"/>
        <v>14739</v>
      </c>
      <c r="T391">
        <f t="shared" ca="1" si="74"/>
        <v>2210</v>
      </c>
      <c r="U391">
        <f t="shared" ca="1" si="75"/>
        <v>181</v>
      </c>
      <c r="V391">
        <v>0</v>
      </c>
      <c r="W391">
        <v>0</v>
      </c>
      <c r="X391">
        <f t="shared" ca="1" si="76"/>
        <v>-89</v>
      </c>
      <c r="Y391">
        <v>0</v>
      </c>
      <c r="Z391">
        <v>0</v>
      </c>
      <c r="AA391">
        <v>0</v>
      </c>
      <c r="AB391" t="s">
        <v>61</v>
      </c>
      <c r="AC391" t="s">
        <v>105</v>
      </c>
      <c r="AD391">
        <v>1</v>
      </c>
      <c r="AE391">
        <v>52</v>
      </c>
      <c r="AF391">
        <v>2257</v>
      </c>
      <c r="AG391" t="s">
        <v>47</v>
      </c>
      <c r="AH391" t="s">
        <v>226</v>
      </c>
      <c r="AI391" t="s">
        <v>227</v>
      </c>
      <c r="AJ391" t="s">
        <v>50</v>
      </c>
      <c r="AK391" t="s">
        <v>51</v>
      </c>
      <c r="AL391">
        <v>3.6726999999999999</v>
      </c>
      <c r="AM391" t="s">
        <v>52</v>
      </c>
      <c r="AN391" t="s">
        <v>93</v>
      </c>
      <c r="AO391" t="s">
        <v>54</v>
      </c>
      <c r="AP391" t="s">
        <v>94</v>
      </c>
      <c r="AQ391" t="s">
        <v>55</v>
      </c>
    </row>
    <row r="392" spans="1:43" x14ac:dyDescent="0.3">
      <c r="A392" t="s">
        <v>43</v>
      </c>
      <c r="B392">
        <v>1999</v>
      </c>
      <c r="C392">
        <v>535</v>
      </c>
      <c r="D392">
        <v>5211</v>
      </c>
      <c r="E392">
        <v>15</v>
      </c>
      <c r="F392">
        <v>202305</v>
      </c>
      <c r="G392">
        <v>3100302</v>
      </c>
      <c r="H392" t="s">
        <v>104</v>
      </c>
      <c r="I392" t="s">
        <v>45</v>
      </c>
      <c r="J392">
        <v>7</v>
      </c>
      <c r="K392">
        <f t="shared" ca="1" si="67"/>
        <v>16</v>
      </c>
      <c r="L392">
        <f t="shared" ca="1" si="68"/>
        <v>-22</v>
      </c>
      <c r="M392">
        <f t="shared" ca="1" si="69"/>
        <v>465</v>
      </c>
      <c r="N392">
        <f t="shared" ca="1" si="69"/>
        <v>498</v>
      </c>
      <c r="O392">
        <f t="shared" ca="1" si="66"/>
        <v>186</v>
      </c>
      <c r="P392">
        <f t="shared" ca="1" si="70"/>
        <v>167</v>
      </c>
      <c r="Q392">
        <f t="shared" ca="1" si="71"/>
        <v>751</v>
      </c>
      <c r="R392">
        <f t="shared" ca="1" si="72"/>
        <v>341</v>
      </c>
      <c r="S392">
        <f t="shared" ca="1" si="73"/>
        <v>3659</v>
      </c>
      <c r="T392">
        <f t="shared" ca="1" si="74"/>
        <v>5559</v>
      </c>
      <c r="U392">
        <f t="shared" ca="1" si="75"/>
        <v>883</v>
      </c>
      <c r="V392">
        <v>0</v>
      </c>
      <c r="W392">
        <v>0</v>
      </c>
      <c r="X392">
        <f t="shared" ca="1" si="76"/>
        <v>-14</v>
      </c>
      <c r="Y392">
        <v>0</v>
      </c>
      <c r="Z392">
        <v>0</v>
      </c>
      <c r="AA392">
        <v>0</v>
      </c>
      <c r="AB392" t="s">
        <v>80</v>
      </c>
      <c r="AC392" t="s">
        <v>82</v>
      </c>
      <c r="AD392">
        <v>1</v>
      </c>
      <c r="AE392">
        <v>52</v>
      </c>
      <c r="AF392">
        <v>2257</v>
      </c>
      <c r="AG392" t="s">
        <v>47</v>
      </c>
      <c r="AH392" t="s">
        <v>226</v>
      </c>
      <c r="AI392" t="s">
        <v>227</v>
      </c>
      <c r="AJ392" t="s">
        <v>50</v>
      </c>
      <c r="AK392" t="s">
        <v>51</v>
      </c>
      <c r="AL392">
        <v>3.6726999999999999</v>
      </c>
      <c r="AM392" t="s">
        <v>52</v>
      </c>
      <c r="AN392" t="s">
        <v>93</v>
      </c>
      <c r="AO392" t="s">
        <v>54</v>
      </c>
      <c r="AP392" t="s">
        <v>94</v>
      </c>
      <c r="AQ392" t="s">
        <v>55</v>
      </c>
    </row>
    <row r="393" spans="1:43" x14ac:dyDescent="0.3">
      <c r="A393" t="s">
        <v>43</v>
      </c>
      <c r="B393">
        <v>1999</v>
      </c>
      <c r="C393">
        <v>535</v>
      </c>
      <c r="D393">
        <v>5211</v>
      </c>
      <c r="E393">
        <v>15</v>
      </c>
      <c r="F393">
        <v>202305</v>
      </c>
      <c r="G393">
        <v>3100413</v>
      </c>
      <c r="H393" t="s">
        <v>104</v>
      </c>
      <c r="I393" t="s">
        <v>45</v>
      </c>
      <c r="J393">
        <v>7</v>
      </c>
      <c r="K393">
        <f t="shared" ca="1" si="67"/>
        <v>7</v>
      </c>
      <c r="L393">
        <f t="shared" ca="1" si="68"/>
        <v>-15</v>
      </c>
      <c r="M393">
        <f t="shared" ca="1" si="69"/>
        <v>441</v>
      </c>
      <c r="N393">
        <f t="shared" ca="1" si="69"/>
        <v>-58</v>
      </c>
      <c r="O393">
        <f t="shared" ca="1" si="66"/>
        <v>822</v>
      </c>
      <c r="P393">
        <f t="shared" ca="1" si="70"/>
        <v>1286</v>
      </c>
      <c r="Q393">
        <f t="shared" ca="1" si="71"/>
        <v>310</v>
      </c>
      <c r="R393">
        <f t="shared" ca="1" si="72"/>
        <v>412</v>
      </c>
      <c r="S393">
        <f t="shared" ca="1" si="73"/>
        <v>10565</v>
      </c>
      <c r="T393">
        <f t="shared" ca="1" si="74"/>
        <v>3777</v>
      </c>
      <c r="U393">
        <f t="shared" ca="1" si="75"/>
        <v>554</v>
      </c>
      <c r="V393">
        <v>0</v>
      </c>
      <c r="W393">
        <v>0</v>
      </c>
      <c r="X393">
        <f t="shared" ca="1" si="76"/>
        <v>-51</v>
      </c>
      <c r="Y393">
        <v>0</v>
      </c>
      <c r="Z393">
        <v>0</v>
      </c>
      <c r="AA393">
        <v>0</v>
      </c>
      <c r="AB393" t="s">
        <v>80</v>
      </c>
      <c r="AC393" t="s">
        <v>108</v>
      </c>
      <c r="AD393">
        <v>1</v>
      </c>
      <c r="AE393">
        <v>52</v>
      </c>
      <c r="AF393">
        <v>2257</v>
      </c>
      <c r="AG393" t="s">
        <v>47</v>
      </c>
      <c r="AH393" t="s">
        <v>226</v>
      </c>
      <c r="AI393" t="s">
        <v>227</v>
      </c>
      <c r="AJ393" t="s">
        <v>50</v>
      </c>
      <c r="AK393" t="s">
        <v>51</v>
      </c>
      <c r="AL393">
        <v>3.6726999999999999</v>
      </c>
      <c r="AM393" t="s">
        <v>52</v>
      </c>
      <c r="AN393" t="s">
        <v>93</v>
      </c>
      <c r="AO393" t="s">
        <v>54</v>
      </c>
      <c r="AP393" t="s">
        <v>94</v>
      </c>
      <c r="AQ393" t="s">
        <v>55</v>
      </c>
    </row>
    <row r="394" spans="1:43" x14ac:dyDescent="0.3">
      <c r="A394" t="s">
        <v>43</v>
      </c>
      <c r="B394">
        <v>1999</v>
      </c>
      <c r="C394">
        <v>535</v>
      </c>
      <c r="D394">
        <v>5211</v>
      </c>
      <c r="E394">
        <v>15</v>
      </c>
      <c r="F394">
        <v>202305</v>
      </c>
      <c r="G394">
        <v>3100414</v>
      </c>
      <c r="H394" t="s">
        <v>104</v>
      </c>
      <c r="I394" t="s">
        <v>45</v>
      </c>
      <c r="J394">
        <v>7</v>
      </c>
      <c r="K394">
        <f t="shared" ca="1" si="67"/>
        <v>49</v>
      </c>
      <c r="L394">
        <f t="shared" ca="1" si="68"/>
        <v>78</v>
      </c>
      <c r="M394">
        <f t="shared" ca="1" si="69"/>
        <v>416</v>
      </c>
      <c r="N394">
        <f t="shared" ca="1" si="69"/>
        <v>-86</v>
      </c>
      <c r="O394">
        <f t="shared" ca="1" si="66"/>
        <v>-57</v>
      </c>
      <c r="P394">
        <f t="shared" ca="1" si="70"/>
        <v>249</v>
      </c>
      <c r="Q394">
        <f t="shared" ca="1" si="71"/>
        <v>465</v>
      </c>
      <c r="R394">
        <f t="shared" ca="1" si="72"/>
        <v>263</v>
      </c>
      <c r="S394">
        <f t="shared" ca="1" si="73"/>
        <v>12356</v>
      </c>
      <c r="T394">
        <f t="shared" ca="1" si="74"/>
        <v>8307</v>
      </c>
      <c r="U394">
        <f t="shared" ca="1" si="75"/>
        <v>1219</v>
      </c>
      <c r="V394">
        <v>0</v>
      </c>
      <c r="W394">
        <v>0</v>
      </c>
      <c r="X394">
        <f t="shared" ca="1" si="76"/>
        <v>-358</v>
      </c>
      <c r="Y394">
        <v>0</v>
      </c>
      <c r="Z394">
        <v>0</v>
      </c>
      <c r="AA394">
        <v>2</v>
      </c>
      <c r="AB394" t="s">
        <v>80</v>
      </c>
      <c r="AC394" t="s">
        <v>109</v>
      </c>
      <c r="AD394">
        <v>1</v>
      </c>
      <c r="AE394">
        <v>52</v>
      </c>
      <c r="AF394">
        <v>2257</v>
      </c>
      <c r="AG394" t="s">
        <v>47</v>
      </c>
      <c r="AH394" t="s">
        <v>226</v>
      </c>
      <c r="AI394" t="s">
        <v>227</v>
      </c>
      <c r="AJ394" t="s">
        <v>50</v>
      </c>
      <c r="AK394" t="s">
        <v>51</v>
      </c>
      <c r="AL394">
        <v>3.6726999999999999</v>
      </c>
      <c r="AM394" t="s">
        <v>52</v>
      </c>
      <c r="AN394" t="s">
        <v>93</v>
      </c>
      <c r="AO394" t="s">
        <v>54</v>
      </c>
      <c r="AP394" t="s">
        <v>94</v>
      </c>
      <c r="AQ394" t="s">
        <v>55</v>
      </c>
    </row>
    <row r="395" spans="1:43" x14ac:dyDescent="0.3">
      <c r="A395" t="s">
        <v>43</v>
      </c>
      <c r="B395">
        <v>1999</v>
      </c>
      <c r="C395">
        <v>535</v>
      </c>
      <c r="D395">
        <v>5211</v>
      </c>
      <c r="E395">
        <v>15</v>
      </c>
      <c r="F395">
        <v>202305</v>
      </c>
      <c r="G395">
        <v>3300348</v>
      </c>
      <c r="H395" t="s">
        <v>104</v>
      </c>
      <c r="I395" t="s">
        <v>45</v>
      </c>
      <c r="J395">
        <v>7</v>
      </c>
      <c r="K395">
        <f t="shared" ca="1" si="67"/>
        <v>0</v>
      </c>
      <c r="L395">
        <f t="shared" ca="1" si="68"/>
        <v>-48</v>
      </c>
      <c r="M395">
        <f t="shared" ca="1" si="69"/>
        <v>55</v>
      </c>
      <c r="N395">
        <f t="shared" ca="1" si="69"/>
        <v>478</v>
      </c>
      <c r="O395">
        <f t="shared" ca="1" si="66"/>
        <v>625</v>
      </c>
      <c r="P395">
        <f t="shared" ca="1" si="70"/>
        <v>1068</v>
      </c>
      <c r="Q395">
        <f t="shared" ca="1" si="71"/>
        <v>556</v>
      </c>
      <c r="R395">
        <f t="shared" ca="1" si="72"/>
        <v>383</v>
      </c>
      <c r="S395">
        <f t="shared" ca="1" si="73"/>
        <v>14734</v>
      </c>
      <c r="T395">
        <f t="shared" ca="1" si="74"/>
        <v>5704</v>
      </c>
      <c r="U395">
        <f t="shared" ca="1" si="75"/>
        <v>22</v>
      </c>
      <c r="V395">
        <v>0</v>
      </c>
      <c r="W395">
        <v>0</v>
      </c>
      <c r="X395">
        <f t="shared" ca="1" si="76"/>
        <v>-166</v>
      </c>
      <c r="Y395">
        <v>0</v>
      </c>
      <c r="Z395">
        <v>0</v>
      </c>
      <c r="AA395">
        <v>100</v>
      </c>
      <c r="AB395" t="s">
        <v>91</v>
      </c>
      <c r="AC395" t="s">
        <v>204</v>
      </c>
      <c r="AD395">
        <v>1</v>
      </c>
      <c r="AE395">
        <v>52</v>
      </c>
      <c r="AF395">
        <v>2257</v>
      </c>
      <c r="AG395" t="s">
        <v>47</v>
      </c>
      <c r="AH395" t="s">
        <v>226</v>
      </c>
      <c r="AI395" t="s">
        <v>227</v>
      </c>
      <c r="AJ395" t="s">
        <v>50</v>
      </c>
      <c r="AK395" t="s">
        <v>51</v>
      </c>
      <c r="AL395">
        <v>3.6726999999999999</v>
      </c>
      <c r="AM395" t="s">
        <v>52</v>
      </c>
      <c r="AN395" t="s">
        <v>93</v>
      </c>
      <c r="AO395" t="s">
        <v>54</v>
      </c>
      <c r="AP395" t="s">
        <v>94</v>
      </c>
      <c r="AQ395" t="s">
        <v>55</v>
      </c>
    </row>
    <row r="396" spans="1:43" x14ac:dyDescent="0.3">
      <c r="A396" t="s">
        <v>43</v>
      </c>
      <c r="B396">
        <v>1999</v>
      </c>
      <c r="C396">
        <v>535</v>
      </c>
      <c r="D396">
        <v>5211</v>
      </c>
      <c r="E396">
        <v>30</v>
      </c>
      <c r="F396">
        <v>202305</v>
      </c>
      <c r="G396">
        <v>3100302</v>
      </c>
      <c r="H396" t="s">
        <v>81</v>
      </c>
      <c r="I396" t="s">
        <v>45</v>
      </c>
      <c r="J396">
        <v>7</v>
      </c>
      <c r="K396">
        <f t="shared" ca="1" si="67"/>
        <v>62</v>
      </c>
      <c r="L396">
        <f t="shared" ca="1" si="68"/>
        <v>-49</v>
      </c>
      <c r="M396">
        <f t="shared" ca="1" si="69"/>
        <v>485</v>
      </c>
      <c r="N396">
        <f t="shared" ca="1" si="69"/>
        <v>-73</v>
      </c>
      <c r="O396">
        <f t="shared" ca="1" si="66"/>
        <v>311</v>
      </c>
      <c r="P396">
        <f t="shared" ca="1" si="70"/>
        <v>645</v>
      </c>
      <c r="Q396">
        <f t="shared" ca="1" si="71"/>
        <v>1007</v>
      </c>
      <c r="R396">
        <f t="shared" ca="1" si="72"/>
        <v>150</v>
      </c>
      <c r="S396">
        <f t="shared" ca="1" si="73"/>
        <v>6491</v>
      </c>
      <c r="T396">
        <f t="shared" ca="1" si="74"/>
        <v>1460</v>
      </c>
      <c r="U396">
        <f t="shared" ca="1" si="75"/>
        <v>773</v>
      </c>
      <c r="V396">
        <v>0</v>
      </c>
      <c r="W396">
        <v>0</v>
      </c>
      <c r="X396">
        <f t="shared" ca="1" si="76"/>
        <v>-39</v>
      </c>
      <c r="Y396">
        <v>0</v>
      </c>
      <c r="Z396">
        <v>0</v>
      </c>
      <c r="AA396">
        <v>0</v>
      </c>
      <c r="AB396" t="s">
        <v>80</v>
      </c>
      <c r="AC396" t="s">
        <v>82</v>
      </c>
      <c r="AD396">
        <v>1</v>
      </c>
      <c r="AE396">
        <v>52</v>
      </c>
      <c r="AF396">
        <v>2257</v>
      </c>
      <c r="AG396" t="s">
        <v>47</v>
      </c>
      <c r="AH396" t="s">
        <v>226</v>
      </c>
      <c r="AI396" t="s">
        <v>227</v>
      </c>
      <c r="AJ396" t="s">
        <v>50</v>
      </c>
      <c r="AK396" t="s">
        <v>51</v>
      </c>
      <c r="AL396">
        <v>3.6726999999999999</v>
      </c>
      <c r="AM396" t="s">
        <v>52</v>
      </c>
      <c r="AN396" t="s">
        <v>93</v>
      </c>
      <c r="AO396" t="s">
        <v>50</v>
      </c>
      <c r="AP396" t="s">
        <v>94</v>
      </c>
      <c r="AQ396" t="s">
        <v>55</v>
      </c>
    </row>
    <row r="397" spans="1:43" x14ac:dyDescent="0.3">
      <c r="A397" t="s">
        <v>43</v>
      </c>
      <c r="B397">
        <v>1999</v>
      </c>
      <c r="C397">
        <v>535</v>
      </c>
      <c r="D397">
        <v>5211</v>
      </c>
      <c r="E397">
        <v>30</v>
      </c>
      <c r="F397">
        <v>202305</v>
      </c>
      <c r="G397">
        <v>3100303</v>
      </c>
      <c r="H397" t="s">
        <v>81</v>
      </c>
      <c r="I397" t="s">
        <v>45</v>
      </c>
      <c r="J397">
        <v>7</v>
      </c>
      <c r="K397">
        <f t="shared" ca="1" si="67"/>
        <v>28</v>
      </c>
      <c r="L397">
        <f t="shared" ca="1" si="68"/>
        <v>88</v>
      </c>
      <c r="M397">
        <f t="shared" ca="1" si="69"/>
        <v>278</v>
      </c>
      <c r="N397">
        <f t="shared" ca="1" si="69"/>
        <v>-20</v>
      </c>
      <c r="O397">
        <f t="shared" ca="1" si="66"/>
        <v>-48</v>
      </c>
      <c r="P397">
        <f t="shared" ca="1" si="70"/>
        <v>56</v>
      </c>
      <c r="Q397">
        <f t="shared" ca="1" si="71"/>
        <v>92</v>
      </c>
      <c r="R397">
        <f t="shared" ca="1" si="72"/>
        <v>417</v>
      </c>
      <c r="S397">
        <f t="shared" ca="1" si="73"/>
        <v>8200</v>
      </c>
      <c r="T397">
        <f t="shared" ca="1" si="74"/>
        <v>8298</v>
      </c>
      <c r="U397">
        <f t="shared" ca="1" si="75"/>
        <v>774</v>
      </c>
      <c r="V397">
        <v>0</v>
      </c>
      <c r="W397">
        <v>0</v>
      </c>
      <c r="X397">
        <f t="shared" ca="1" si="76"/>
        <v>-57</v>
      </c>
      <c r="Y397">
        <v>0</v>
      </c>
      <c r="Z397">
        <v>0</v>
      </c>
      <c r="AA397">
        <v>55</v>
      </c>
      <c r="AB397" t="s">
        <v>80</v>
      </c>
      <c r="AC397" t="s">
        <v>83</v>
      </c>
      <c r="AD397">
        <v>1</v>
      </c>
      <c r="AE397">
        <v>52</v>
      </c>
      <c r="AF397">
        <v>2257</v>
      </c>
      <c r="AG397" t="s">
        <v>47</v>
      </c>
      <c r="AH397" t="s">
        <v>226</v>
      </c>
      <c r="AI397" t="s">
        <v>227</v>
      </c>
      <c r="AJ397" t="s">
        <v>50</v>
      </c>
      <c r="AK397" t="s">
        <v>51</v>
      </c>
      <c r="AL397">
        <v>3.6726999999999999</v>
      </c>
      <c r="AM397" t="s">
        <v>52</v>
      </c>
      <c r="AN397" t="s">
        <v>93</v>
      </c>
      <c r="AO397" t="s">
        <v>50</v>
      </c>
      <c r="AP397" t="s">
        <v>94</v>
      </c>
      <c r="AQ397" t="s">
        <v>55</v>
      </c>
    </row>
    <row r="398" spans="1:43" x14ac:dyDescent="0.3">
      <c r="A398" t="s">
        <v>43</v>
      </c>
      <c r="B398">
        <v>1999</v>
      </c>
      <c r="C398">
        <v>535</v>
      </c>
      <c r="D398">
        <v>5211</v>
      </c>
      <c r="E398">
        <v>30</v>
      </c>
      <c r="F398">
        <v>202305</v>
      </c>
      <c r="G398">
        <v>3100305</v>
      </c>
      <c r="H398" t="s">
        <v>81</v>
      </c>
      <c r="I398" t="s">
        <v>45</v>
      </c>
      <c r="J398">
        <v>7</v>
      </c>
      <c r="K398">
        <f t="shared" ca="1" si="67"/>
        <v>79</v>
      </c>
      <c r="L398">
        <f t="shared" ca="1" si="68"/>
        <v>55</v>
      </c>
      <c r="M398">
        <f t="shared" ca="1" si="69"/>
        <v>274</v>
      </c>
      <c r="N398">
        <f t="shared" ca="1" si="69"/>
        <v>312</v>
      </c>
      <c r="O398">
        <f t="shared" ca="1" si="66"/>
        <v>371</v>
      </c>
      <c r="P398">
        <f t="shared" ca="1" si="70"/>
        <v>1067</v>
      </c>
      <c r="Q398">
        <f t="shared" ca="1" si="71"/>
        <v>395</v>
      </c>
      <c r="R398">
        <f t="shared" ca="1" si="72"/>
        <v>295</v>
      </c>
      <c r="S398">
        <f t="shared" ca="1" si="73"/>
        <v>6804</v>
      </c>
      <c r="T398">
        <f t="shared" ca="1" si="74"/>
        <v>9939</v>
      </c>
      <c r="U398">
        <f t="shared" ca="1" si="75"/>
        <v>454</v>
      </c>
      <c r="V398">
        <v>0</v>
      </c>
      <c r="W398">
        <v>0</v>
      </c>
      <c r="X398">
        <f t="shared" ca="1" si="76"/>
        <v>-488</v>
      </c>
      <c r="Y398">
        <v>0</v>
      </c>
      <c r="Z398">
        <v>0</v>
      </c>
      <c r="AA398">
        <v>33</v>
      </c>
      <c r="AB398" t="s">
        <v>80</v>
      </c>
      <c r="AC398" t="s">
        <v>85</v>
      </c>
      <c r="AD398">
        <v>1</v>
      </c>
      <c r="AE398">
        <v>52</v>
      </c>
      <c r="AF398">
        <v>2257</v>
      </c>
      <c r="AG398" t="s">
        <v>47</v>
      </c>
      <c r="AH398" t="s">
        <v>226</v>
      </c>
      <c r="AI398" t="s">
        <v>227</v>
      </c>
      <c r="AJ398" t="s">
        <v>50</v>
      </c>
      <c r="AK398" t="s">
        <v>51</v>
      </c>
      <c r="AL398">
        <v>3.6726999999999999</v>
      </c>
      <c r="AM398" t="s">
        <v>52</v>
      </c>
      <c r="AN398" t="s">
        <v>93</v>
      </c>
      <c r="AO398" t="s">
        <v>50</v>
      </c>
      <c r="AP398" t="s">
        <v>94</v>
      </c>
      <c r="AQ398" t="s">
        <v>55</v>
      </c>
    </row>
    <row r="399" spans="1:43" x14ac:dyDescent="0.3">
      <c r="A399" t="s">
        <v>43</v>
      </c>
      <c r="B399">
        <v>1999</v>
      </c>
      <c r="C399">
        <v>535</v>
      </c>
      <c r="D399">
        <v>5211</v>
      </c>
      <c r="E399">
        <v>30</v>
      </c>
      <c r="F399">
        <v>202305</v>
      </c>
      <c r="G399">
        <v>3100313</v>
      </c>
      <c r="H399" t="s">
        <v>81</v>
      </c>
      <c r="I399" t="s">
        <v>45</v>
      </c>
      <c r="J399">
        <v>7</v>
      </c>
      <c r="K399">
        <f t="shared" ca="1" si="67"/>
        <v>21</v>
      </c>
      <c r="L399">
        <f t="shared" ca="1" si="68"/>
        <v>-58</v>
      </c>
      <c r="M399">
        <f t="shared" ca="1" si="69"/>
        <v>34</v>
      </c>
      <c r="N399">
        <f t="shared" ca="1" si="69"/>
        <v>253</v>
      </c>
      <c r="O399">
        <f t="shared" ca="1" si="66"/>
        <v>662</v>
      </c>
      <c r="P399">
        <f t="shared" ca="1" si="70"/>
        <v>42</v>
      </c>
      <c r="Q399">
        <f t="shared" ca="1" si="71"/>
        <v>1050</v>
      </c>
      <c r="R399">
        <f t="shared" ca="1" si="72"/>
        <v>395</v>
      </c>
      <c r="S399">
        <f t="shared" ca="1" si="73"/>
        <v>11571</v>
      </c>
      <c r="T399">
        <f t="shared" ca="1" si="74"/>
        <v>2552</v>
      </c>
      <c r="U399">
        <f t="shared" ca="1" si="75"/>
        <v>742</v>
      </c>
      <c r="V399">
        <v>0</v>
      </c>
      <c r="W399">
        <v>0</v>
      </c>
      <c r="X399">
        <f t="shared" ca="1" si="76"/>
        <v>-425</v>
      </c>
      <c r="Y399">
        <v>0</v>
      </c>
      <c r="Z399">
        <v>0</v>
      </c>
      <c r="AA399">
        <v>0</v>
      </c>
      <c r="AB399" t="s">
        <v>80</v>
      </c>
      <c r="AC399" t="s">
        <v>86</v>
      </c>
      <c r="AD399">
        <v>1</v>
      </c>
      <c r="AE399">
        <v>52</v>
      </c>
      <c r="AF399">
        <v>2257</v>
      </c>
      <c r="AG399" t="s">
        <v>47</v>
      </c>
      <c r="AH399" t="s">
        <v>226</v>
      </c>
      <c r="AI399" t="s">
        <v>227</v>
      </c>
      <c r="AJ399" t="s">
        <v>50</v>
      </c>
      <c r="AK399" t="s">
        <v>51</v>
      </c>
      <c r="AL399">
        <v>3.6726999999999999</v>
      </c>
      <c r="AM399" t="s">
        <v>52</v>
      </c>
      <c r="AN399" t="s">
        <v>93</v>
      </c>
      <c r="AO399" t="s">
        <v>50</v>
      </c>
      <c r="AP399" t="s">
        <v>94</v>
      </c>
      <c r="AQ399" t="s">
        <v>55</v>
      </c>
    </row>
    <row r="400" spans="1:43" x14ac:dyDescent="0.3">
      <c r="A400" t="s">
        <v>43</v>
      </c>
      <c r="B400">
        <v>1999</v>
      </c>
      <c r="C400">
        <v>535</v>
      </c>
      <c r="D400">
        <v>5211</v>
      </c>
      <c r="E400">
        <v>30</v>
      </c>
      <c r="F400">
        <v>202305</v>
      </c>
      <c r="G400">
        <v>3100323</v>
      </c>
      <c r="H400" t="s">
        <v>81</v>
      </c>
      <c r="I400" t="s">
        <v>45</v>
      </c>
      <c r="J400">
        <v>7</v>
      </c>
      <c r="K400">
        <f t="shared" ca="1" si="67"/>
        <v>30</v>
      </c>
      <c r="L400">
        <f t="shared" ca="1" si="68"/>
        <v>21</v>
      </c>
      <c r="M400">
        <f t="shared" ca="1" si="69"/>
        <v>113</v>
      </c>
      <c r="N400">
        <f t="shared" ca="1" si="69"/>
        <v>369</v>
      </c>
      <c r="O400">
        <f t="shared" ca="1" si="66"/>
        <v>65</v>
      </c>
      <c r="P400">
        <f t="shared" ca="1" si="70"/>
        <v>1208</v>
      </c>
      <c r="Q400">
        <f t="shared" ca="1" si="71"/>
        <v>361</v>
      </c>
      <c r="R400">
        <f t="shared" ca="1" si="72"/>
        <v>30</v>
      </c>
      <c r="S400">
        <f t="shared" ca="1" si="73"/>
        <v>6542</v>
      </c>
      <c r="T400">
        <f t="shared" ca="1" si="74"/>
        <v>103</v>
      </c>
      <c r="U400">
        <f t="shared" ca="1" si="75"/>
        <v>32</v>
      </c>
      <c r="V400">
        <v>0</v>
      </c>
      <c r="W400">
        <v>0</v>
      </c>
      <c r="X400">
        <f t="shared" ca="1" si="76"/>
        <v>-17</v>
      </c>
      <c r="Y400">
        <v>0</v>
      </c>
      <c r="Z400">
        <v>0</v>
      </c>
      <c r="AA400">
        <v>0</v>
      </c>
      <c r="AB400" t="s">
        <v>80</v>
      </c>
      <c r="AC400" t="s">
        <v>207</v>
      </c>
      <c r="AD400">
        <v>1</v>
      </c>
      <c r="AE400">
        <v>52</v>
      </c>
      <c r="AF400">
        <v>2257</v>
      </c>
      <c r="AG400" t="s">
        <v>47</v>
      </c>
      <c r="AH400" t="s">
        <v>226</v>
      </c>
      <c r="AI400" t="s">
        <v>227</v>
      </c>
      <c r="AJ400" t="s">
        <v>50</v>
      </c>
      <c r="AK400" t="s">
        <v>51</v>
      </c>
      <c r="AL400">
        <v>3.6726999999999999</v>
      </c>
      <c r="AM400" t="s">
        <v>52</v>
      </c>
      <c r="AN400" t="s">
        <v>93</v>
      </c>
      <c r="AO400" t="s">
        <v>50</v>
      </c>
      <c r="AP400" t="s">
        <v>94</v>
      </c>
      <c r="AQ400" t="s">
        <v>55</v>
      </c>
    </row>
    <row r="401" spans="1:43" x14ac:dyDescent="0.3">
      <c r="A401" t="s">
        <v>43</v>
      </c>
      <c r="B401">
        <v>1999</v>
      </c>
      <c r="C401">
        <v>535</v>
      </c>
      <c r="D401">
        <v>5211</v>
      </c>
      <c r="E401">
        <v>30</v>
      </c>
      <c r="F401">
        <v>202305</v>
      </c>
      <c r="G401">
        <v>3100353</v>
      </c>
      <c r="H401" t="s">
        <v>81</v>
      </c>
      <c r="I401" t="s">
        <v>45</v>
      </c>
      <c r="J401">
        <v>7</v>
      </c>
      <c r="K401">
        <f t="shared" ca="1" si="67"/>
        <v>79</v>
      </c>
      <c r="L401">
        <f t="shared" ca="1" si="68"/>
        <v>2</v>
      </c>
      <c r="M401">
        <f t="shared" ca="1" si="69"/>
        <v>362</v>
      </c>
      <c r="N401">
        <f t="shared" ca="1" si="69"/>
        <v>-12</v>
      </c>
      <c r="O401">
        <f t="shared" ca="1" si="66"/>
        <v>523</v>
      </c>
      <c r="P401">
        <f t="shared" ca="1" si="70"/>
        <v>917</v>
      </c>
      <c r="Q401">
        <f t="shared" ca="1" si="71"/>
        <v>885</v>
      </c>
      <c r="R401">
        <f t="shared" ca="1" si="72"/>
        <v>378</v>
      </c>
      <c r="S401">
        <f t="shared" ca="1" si="73"/>
        <v>2299</v>
      </c>
      <c r="T401">
        <f t="shared" ca="1" si="74"/>
        <v>6680</v>
      </c>
      <c r="U401">
        <f t="shared" ca="1" si="75"/>
        <v>211</v>
      </c>
      <c r="V401">
        <v>0</v>
      </c>
      <c r="W401">
        <v>0</v>
      </c>
      <c r="X401">
        <f t="shared" ca="1" si="76"/>
        <v>-184</v>
      </c>
      <c r="Y401">
        <v>0</v>
      </c>
      <c r="Z401">
        <v>0</v>
      </c>
      <c r="AA401">
        <v>0</v>
      </c>
      <c r="AB401" t="s">
        <v>80</v>
      </c>
      <c r="AC401" t="s">
        <v>209</v>
      </c>
      <c r="AD401">
        <v>1</v>
      </c>
      <c r="AE401">
        <v>52</v>
      </c>
      <c r="AF401">
        <v>2257</v>
      </c>
      <c r="AG401" t="s">
        <v>47</v>
      </c>
      <c r="AH401" t="s">
        <v>226</v>
      </c>
      <c r="AI401" t="s">
        <v>227</v>
      </c>
      <c r="AJ401" t="s">
        <v>50</v>
      </c>
      <c r="AK401" t="s">
        <v>51</v>
      </c>
      <c r="AL401">
        <v>3.6726999999999999</v>
      </c>
      <c r="AM401" t="s">
        <v>52</v>
      </c>
      <c r="AN401" t="s">
        <v>93</v>
      </c>
      <c r="AO401" t="s">
        <v>50</v>
      </c>
      <c r="AP401" t="s">
        <v>94</v>
      </c>
      <c r="AQ401" t="s">
        <v>55</v>
      </c>
    </row>
    <row r="402" spans="1:43" x14ac:dyDescent="0.3">
      <c r="A402" t="s">
        <v>43</v>
      </c>
      <c r="B402">
        <v>1999</v>
      </c>
      <c r="C402">
        <v>535</v>
      </c>
      <c r="D402">
        <v>5211</v>
      </c>
      <c r="E402">
        <v>30</v>
      </c>
      <c r="F402">
        <v>202305</v>
      </c>
      <c r="G402">
        <v>3100364</v>
      </c>
      <c r="H402" t="s">
        <v>81</v>
      </c>
      <c r="I402" t="s">
        <v>45</v>
      </c>
      <c r="J402">
        <v>7</v>
      </c>
      <c r="K402">
        <f t="shared" ca="1" si="67"/>
        <v>45</v>
      </c>
      <c r="L402">
        <f t="shared" ca="1" si="68"/>
        <v>94</v>
      </c>
      <c r="M402">
        <f t="shared" ca="1" si="69"/>
        <v>259</v>
      </c>
      <c r="N402">
        <f t="shared" ca="1" si="69"/>
        <v>-11</v>
      </c>
      <c r="O402">
        <f t="shared" ca="1" si="66"/>
        <v>-45</v>
      </c>
      <c r="P402">
        <f t="shared" ca="1" si="70"/>
        <v>291</v>
      </c>
      <c r="Q402">
        <f t="shared" ca="1" si="71"/>
        <v>1038</v>
      </c>
      <c r="R402">
        <f t="shared" ca="1" si="72"/>
        <v>450</v>
      </c>
      <c r="S402">
        <f t="shared" ca="1" si="73"/>
        <v>13327</v>
      </c>
      <c r="T402">
        <f t="shared" ca="1" si="74"/>
        <v>2356</v>
      </c>
      <c r="U402">
        <f t="shared" ca="1" si="75"/>
        <v>-60</v>
      </c>
      <c r="V402">
        <v>0</v>
      </c>
      <c r="W402">
        <v>0</v>
      </c>
      <c r="X402">
        <f t="shared" ca="1" si="76"/>
        <v>39</v>
      </c>
      <c r="Y402">
        <v>0</v>
      </c>
      <c r="Z402">
        <v>1</v>
      </c>
      <c r="AA402">
        <v>7</v>
      </c>
      <c r="AB402" t="s">
        <v>80</v>
      </c>
      <c r="AC402" t="s">
        <v>89</v>
      </c>
      <c r="AD402">
        <v>1</v>
      </c>
      <c r="AE402">
        <v>52</v>
      </c>
      <c r="AF402">
        <v>2257</v>
      </c>
      <c r="AG402" t="s">
        <v>47</v>
      </c>
      <c r="AH402" t="s">
        <v>226</v>
      </c>
      <c r="AI402" t="s">
        <v>227</v>
      </c>
      <c r="AJ402" t="s">
        <v>50</v>
      </c>
      <c r="AK402" t="s">
        <v>51</v>
      </c>
      <c r="AL402">
        <v>3.6726999999999999</v>
      </c>
      <c r="AM402" t="s">
        <v>52</v>
      </c>
      <c r="AN402" t="s">
        <v>93</v>
      </c>
      <c r="AO402" t="s">
        <v>50</v>
      </c>
      <c r="AP402" t="s">
        <v>94</v>
      </c>
      <c r="AQ402" t="s">
        <v>55</v>
      </c>
    </row>
    <row r="403" spans="1:43" x14ac:dyDescent="0.3">
      <c r="A403" t="s">
        <v>43</v>
      </c>
      <c r="B403">
        <v>1999</v>
      </c>
      <c r="C403">
        <v>535</v>
      </c>
      <c r="D403">
        <v>5211</v>
      </c>
      <c r="E403">
        <v>30</v>
      </c>
      <c r="F403">
        <v>202305</v>
      </c>
      <c r="G403">
        <v>3100370</v>
      </c>
      <c r="H403" t="s">
        <v>81</v>
      </c>
      <c r="I403" t="s">
        <v>45</v>
      </c>
      <c r="J403">
        <v>7</v>
      </c>
      <c r="K403">
        <f t="shared" ca="1" si="67"/>
        <v>76</v>
      </c>
      <c r="L403">
        <f t="shared" ca="1" si="68"/>
        <v>-68</v>
      </c>
      <c r="M403">
        <f t="shared" ca="1" si="69"/>
        <v>442</v>
      </c>
      <c r="N403">
        <f t="shared" ca="1" si="69"/>
        <v>385</v>
      </c>
      <c r="O403">
        <f t="shared" ca="1" si="66"/>
        <v>577</v>
      </c>
      <c r="P403">
        <f t="shared" ca="1" si="70"/>
        <v>202</v>
      </c>
      <c r="Q403">
        <f t="shared" ca="1" si="71"/>
        <v>687</v>
      </c>
      <c r="R403">
        <f t="shared" ca="1" si="72"/>
        <v>369</v>
      </c>
      <c r="S403">
        <f t="shared" ca="1" si="73"/>
        <v>11139</v>
      </c>
      <c r="T403">
        <f t="shared" ca="1" si="74"/>
        <v>3011</v>
      </c>
      <c r="U403">
        <f t="shared" ca="1" si="75"/>
        <v>1030</v>
      </c>
      <c r="V403">
        <v>0</v>
      </c>
      <c r="W403">
        <v>0</v>
      </c>
      <c r="X403">
        <f t="shared" ca="1" si="76"/>
        <v>-71</v>
      </c>
      <c r="Y403">
        <v>0</v>
      </c>
      <c r="Z403">
        <v>0</v>
      </c>
      <c r="AA403">
        <v>3</v>
      </c>
      <c r="AB403" t="s">
        <v>80</v>
      </c>
      <c r="AC403" t="s">
        <v>112</v>
      </c>
      <c r="AD403">
        <v>1</v>
      </c>
      <c r="AE403">
        <v>52</v>
      </c>
      <c r="AF403">
        <v>2257</v>
      </c>
      <c r="AG403" t="s">
        <v>47</v>
      </c>
      <c r="AH403" t="s">
        <v>226</v>
      </c>
      <c r="AI403" t="s">
        <v>227</v>
      </c>
      <c r="AJ403" t="s">
        <v>50</v>
      </c>
      <c r="AK403" t="s">
        <v>51</v>
      </c>
      <c r="AL403">
        <v>3.6726999999999999</v>
      </c>
      <c r="AM403" t="s">
        <v>52</v>
      </c>
      <c r="AN403" t="s">
        <v>93</v>
      </c>
      <c r="AO403" t="s">
        <v>50</v>
      </c>
      <c r="AP403" t="s">
        <v>94</v>
      </c>
      <c r="AQ403" t="s">
        <v>55</v>
      </c>
    </row>
    <row r="404" spans="1:43" x14ac:dyDescent="0.3">
      <c r="A404" t="s">
        <v>43</v>
      </c>
      <c r="B404">
        <v>1999</v>
      </c>
      <c r="C404">
        <v>535</v>
      </c>
      <c r="D404">
        <v>5211</v>
      </c>
      <c r="E404">
        <v>30</v>
      </c>
      <c r="F404">
        <v>202305</v>
      </c>
      <c r="G404">
        <v>3100371</v>
      </c>
      <c r="H404" t="s">
        <v>81</v>
      </c>
      <c r="I404" t="s">
        <v>45</v>
      </c>
      <c r="J404">
        <v>7</v>
      </c>
      <c r="K404">
        <f t="shared" ca="1" si="67"/>
        <v>73</v>
      </c>
      <c r="L404">
        <f t="shared" ca="1" si="68"/>
        <v>11</v>
      </c>
      <c r="M404">
        <f t="shared" ca="1" si="69"/>
        <v>358</v>
      </c>
      <c r="N404">
        <f t="shared" ca="1" si="69"/>
        <v>161</v>
      </c>
      <c r="O404">
        <f t="shared" ca="1" si="66"/>
        <v>292</v>
      </c>
      <c r="P404">
        <f t="shared" ca="1" si="70"/>
        <v>699</v>
      </c>
      <c r="Q404">
        <f t="shared" ca="1" si="71"/>
        <v>668</v>
      </c>
      <c r="R404">
        <f t="shared" ca="1" si="72"/>
        <v>-4</v>
      </c>
      <c r="S404">
        <f t="shared" ca="1" si="73"/>
        <v>4178</v>
      </c>
      <c r="T404">
        <f t="shared" ca="1" si="74"/>
        <v>5156</v>
      </c>
      <c r="U404">
        <f t="shared" ca="1" si="75"/>
        <v>287</v>
      </c>
      <c r="V404">
        <v>0</v>
      </c>
      <c r="W404">
        <v>0</v>
      </c>
      <c r="X404">
        <f t="shared" ca="1" si="76"/>
        <v>-81</v>
      </c>
      <c r="Y404">
        <v>0</v>
      </c>
      <c r="Z404">
        <v>0</v>
      </c>
      <c r="AA404">
        <v>0</v>
      </c>
      <c r="AB404" t="s">
        <v>80</v>
      </c>
      <c r="AC404" t="s">
        <v>213</v>
      </c>
      <c r="AD404">
        <v>1</v>
      </c>
      <c r="AE404">
        <v>52</v>
      </c>
      <c r="AF404">
        <v>2257</v>
      </c>
      <c r="AG404" t="s">
        <v>47</v>
      </c>
      <c r="AH404" t="s">
        <v>226</v>
      </c>
      <c r="AI404" t="s">
        <v>227</v>
      </c>
      <c r="AJ404" t="s">
        <v>50</v>
      </c>
      <c r="AK404" t="s">
        <v>51</v>
      </c>
      <c r="AL404">
        <v>3.6726999999999999</v>
      </c>
      <c r="AM404" t="s">
        <v>52</v>
      </c>
      <c r="AN404" t="s">
        <v>93</v>
      </c>
      <c r="AO404" t="s">
        <v>50</v>
      </c>
      <c r="AP404" t="s">
        <v>94</v>
      </c>
      <c r="AQ404" t="s">
        <v>55</v>
      </c>
    </row>
    <row r="405" spans="1:43" x14ac:dyDescent="0.3">
      <c r="A405" t="s">
        <v>43</v>
      </c>
      <c r="B405">
        <v>1999</v>
      </c>
      <c r="C405">
        <v>535</v>
      </c>
      <c r="D405">
        <v>5211</v>
      </c>
      <c r="E405">
        <v>30</v>
      </c>
      <c r="F405">
        <v>202305</v>
      </c>
      <c r="G405">
        <v>3100374</v>
      </c>
      <c r="H405" t="s">
        <v>81</v>
      </c>
      <c r="I405" t="s">
        <v>45</v>
      </c>
      <c r="J405">
        <v>7</v>
      </c>
      <c r="K405">
        <f t="shared" ca="1" si="67"/>
        <v>94</v>
      </c>
      <c r="L405">
        <f t="shared" ca="1" si="68"/>
        <v>19</v>
      </c>
      <c r="M405">
        <f t="shared" ca="1" si="69"/>
        <v>-64</v>
      </c>
      <c r="N405">
        <f t="shared" ca="1" si="69"/>
        <v>279</v>
      </c>
      <c r="O405">
        <f t="shared" ca="1" si="66"/>
        <v>-3</v>
      </c>
      <c r="P405">
        <f t="shared" ca="1" si="70"/>
        <v>1112</v>
      </c>
      <c r="Q405">
        <f t="shared" ca="1" si="71"/>
        <v>954</v>
      </c>
      <c r="R405">
        <f t="shared" ca="1" si="72"/>
        <v>46</v>
      </c>
      <c r="S405">
        <f t="shared" ca="1" si="73"/>
        <v>4396</v>
      </c>
      <c r="T405">
        <f t="shared" ca="1" si="74"/>
        <v>6358</v>
      </c>
      <c r="U405">
        <f t="shared" ca="1" si="75"/>
        <v>1200</v>
      </c>
      <c r="V405">
        <v>0</v>
      </c>
      <c r="W405">
        <v>0</v>
      </c>
      <c r="X405">
        <f t="shared" ca="1" si="76"/>
        <v>-480</v>
      </c>
      <c r="Y405">
        <v>0</v>
      </c>
      <c r="Z405">
        <v>0</v>
      </c>
      <c r="AA405">
        <v>0</v>
      </c>
      <c r="AB405" t="s">
        <v>80</v>
      </c>
      <c r="AC405" t="s">
        <v>245</v>
      </c>
      <c r="AD405">
        <v>1</v>
      </c>
      <c r="AE405">
        <v>52</v>
      </c>
      <c r="AF405">
        <v>2257</v>
      </c>
      <c r="AG405" t="s">
        <v>47</v>
      </c>
      <c r="AH405" t="s">
        <v>226</v>
      </c>
      <c r="AI405" t="s">
        <v>227</v>
      </c>
      <c r="AJ405" t="s">
        <v>50</v>
      </c>
      <c r="AK405" t="s">
        <v>51</v>
      </c>
      <c r="AL405">
        <v>3.6726999999999999</v>
      </c>
      <c r="AM405" t="s">
        <v>52</v>
      </c>
      <c r="AN405" t="s">
        <v>93</v>
      </c>
      <c r="AO405" t="s">
        <v>50</v>
      </c>
      <c r="AP405" t="s">
        <v>94</v>
      </c>
      <c r="AQ405" t="s">
        <v>55</v>
      </c>
    </row>
    <row r="406" spans="1:43" x14ac:dyDescent="0.3">
      <c r="A406" t="s">
        <v>43</v>
      </c>
      <c r="B406">
        <v>1999</v>
      </c>
      <c r="C406">
        <v>535</v>
      </c>
      <c r="D406">
        <v>5211</v>
      </c>
      <c r="E406">
        <v>30</v>
      </c>
      <c r="F406">
        <v>202305</v>
      </c>
      <c r="G406">
        <v>3100377</v>
      </c>
      <c r="H406" t="s">
        <v>81</v>
      </c>
      <c r="I406" t="s">
        <v>45</v>
      </c>
      <c r="J406">
        <v>7</v>
      </c>
      <c r="K406">
        <f t="shared" ca="1" si="67"/>
        <v>56</v>
      </c>
      <c r="L406">
        <f t="shared" ca="1" si="68"/>
        <v>-39</v>
      </c>
      <c r="M406">
        <f t="shared" ca="1" si="69"/>
        <v>1</v>
      </c>
      <c r="N406">
        <f t="shared" ca="1" si="69"/>
        <v>26</v>
      </c>
      <c r="O406">
        <f t="shared" ca="1" si="66"/>
        <v>368</v>
      </c>
      <c r="P406">
        <f t="shared" ca="1" si="70"/>
        <v>-449</v>
      </c>
      <c r="Q406">
        <f t="shared" ca="1" si="71"/>
        <v>397</v>
      </c>
      <c r="R406">
        <f t="shared" ca="1" si="72"/>
        <v>218</v>
      </c>
      <c r="S406">
        <f t="shared" ca="1" si="73"/>
        <v>5215</v>
      </c>
      <c r="T406">
        <f t="shared" ca="1" si="74"/>
        <v>9053</v>
      </c>
      <c r="U406">
        <f t="shared" ca="1" si="75"/>
        <v>313</v>
      </c>
      <c r="V406">
        <v>0</v>
      </c>
      <c r="W406">
        <v>0</v>
      </c>
      <c r="X406">
        <f t="shared" ca="1" si="76"/>
        <v>-415</v>
      </c>
      <c r="Y406">
        <v>0</v>
      </c>
      <c r="Z406">
        <v>0</v>
      </c>
      <c r="AA406">
        <v>3</v>
      </c>
      <c r="AB406" t="s">
        <v>80</v>
      </c>
      <c r="AC406" t="s">
        <v>113</v>
      </c>
      <c r="AD406">
        <v>1</v>
      </c>
      <c r="AE406">
        <v>52</v>
      </c>
      <c r="AF406">
        <v>2257</v>
      </c>
      <c r="AG406" t="s">
        <v>47</v>
      </c>
      <c r="AH406" t="s">
        <v>226</v>
      </c>
      <c r="AI406" t="s">
        <v>227</v>
      </c>
      <c r="AJ406" t="s">
        <v>50</v>
      </c>
      <c r="AK406" t="s">
        <v>51</v>
      </c>
      <c r="AL406">
        <v>3.6726999999999999</v>
      </c>
      <c r="AM406" t="s">
        <v>52</v>
      </c>
      <c r="AN406" t="s">
        <v>93</v>
      </c>
      <c r="AO406" t="s">
        <v>50</v>
      </c>
      <c r="AP406" t="s">
        <v>94</v>
      </c>
      <c r="AQ406" t="s">
        <v>55</v>
      </c>
    </row>
    <row r="407" spans="1:43" x14ac:dyDescent="0.3">
      <c r="A407" t="s">
        <v>43</v>
      </c>
      <c r="B407">
        <v>1999</v>
      </c>
      <c r="C407">
        <v>535</v>
      </c>
      <c r="D407">
        <v>5211</v>
      </c>
      <c r="E407">
        <v>30</v>
      </c>
      <c r="F407">
        <v>202305</v>
      </c>
      <c r="G407">
        <v>3100393</v>
      </c>
      <c r="H407" t="s">
        <v>81</v>
      </c>
      <c r="I407" t="s">
        <v>45</v>
      </c>
      <c r="J407">
        <v>7</v>
      </c>
      <c r="K407">
        <f t="shared" ca="1" si="67"/>
        <v>56</v>
      </c>
      <c r="L407">
        <f t="shared" ca="1" si="68"/>
        <v>-95</v>
      </c>
      <c r="M407">
        <f t="shared" ca="1" si="69"/>
        <v>173</v>
      </c>
      <c r="N407">
        <f t="shared" ca="1" si="69"/>
        <v>-68</v>
      </c>
      <c r="O407">
        <f t="shared" ca="1" si="66"/>
        <v>322</v>
      </c>
      <c r="P407">
        <f t="shared" ca="1" si="70"/>
        <v>-424</v>
      </c>
      <c r="Q407">
        <f t="shared" ca="1" si="71"/>
        <v>1165</v>
      </c>
      <c r="R407">
        <f t="shared" ca="1" si="72"/>
        <v>355</v>
      </c>
      <c r="S407">
        <f t="shared" ca="1" si="73"/>
        <v>12587</v>
      </c>
      <c r="T407">
        <f t="shared" ca="1" si="74"/>
        <v>9512</v>
      </c>
      <c r="U407">
        <f t="shared" ca="1" si="75"/>
        <v>104</v>
      </c>
      <c r="V407">
        <v>0</v>
      </c>
      <c r="W407">
        <v>0</v>
      </c>
      <c r="X407">
        <f t="shared" ca="1" si="76"/>
        <v>-355</v>
      </c>
      <c r="Y407">
        <v>0</v>
      </c>
      <c r="Z407">
        <v>0</v>
      </c>
      <c r="AA407">
        <v>88</v>
      </c>
      <c r="AB407" t="s">
        <v>80</v>
      </c>
      <c r="AC407" t="s">
        <v>90</v>
      </c>
      <c r="AD407">
        <v>1</v>
      </c>
      <c r="AE407">
        <v>52</v>
      </c>
      <c r="AF407">
        <v>2257</v>
      </c>
      <c r="AG407" t="s">
        <v>47</v>
      </c>
      <c r="AH407" t="s">
        <v>226</v>
      </c>
      <c r="AI407" t="s">
        <v>227</v>
      </c>
      <c r="AJ407" t="s">
        <v>50</v>
      </c>
      <c r="AK407" t="s">
        <v>51</v>
      </c>
      <c r="AL407">
        <v>3.6726999999999999</v>
      </c>
      <c r="AM407" t="s">
        <v>52</v>
      </c>
      <c r="AN407" t="s">
        <v>93</v>
      </c>
      <c r="AO407" t="s">
        <v>50</v>
      </c>
      <c r="AP407" t="s">
        <v>94</v>
      </c>
      <c r="AQ407" t="s">
        <v>55</v>
      </c>
    </row>
    <row r="408" spans="1:43" x14ac:dyDescent="0.3">
      <c r="A408" t="s">
        <v>43</v>
      </c>
      <c r="B408">
        <v>1999</v>
      </c>
      <c r="C408">
        <v>535</v>
      </c>
      <c r="D408">
        <v>5211</v>
      </c>
      <c r="E408">
        <v>30</v>
      </c>
      <c r="F408">
        <v>202305</v>
      </c>
      <c r="G408">
        <v>3200341</v>
      </c>
      <c r="H408" t="s">
        <v>81</v>
      </c>
      <c r="I408" t="s">
        <v>45</v>
      </c>
      <c r="J408">
        <v>7</v>
      </c>
      <c r="K408">
        <f t="shared" ca="1" si="67"/>
        <v>90</v>
      </c>
      <c r="L408">
        <f t="shared" ca="1" si="68"/>
        <v>89</v>
      </c>
      <c r="M408">
        <f t="shared" ca="1" si="69"/>
        <v>232</v>
      </c>
      <c r="N408">
        <f t="shared" ca="1" si="69"/>
        <v>477</v>
      </c>
      <c r="O408">
        <f t="shared" ca="1" si="66"/>
        <v>736</v>
      </c>
      <c r="P408">
        <f t="shared" ca="1" si="70"/>
        <v>1421</v>
      </c>
      <c r="Q408">
        <f t="shared" ca="1" si="71"/>
        <v>1097</v>
      </c>
      <c r="R408">
        <f t="shared" ca="1" si="72"/>
        <v>215</v>
      </c>
      <c r="S408">
        <f t="shared" ca="1" si="73"/>
        <v>6274</v>
      </c>
      <c r="T408">
        <f t="shared" ca="1" si="74"/>
        <v>5618</v>
      </c>
      <c r="U408">
        <f t="shared" ca="1" si="75"/>
        <v>877</v>
      </c>
      <c r="V408">
        <v>0</v>
      </c>
      <c r="W408">
        <v>0</v>
      </c>
      <c r="X408">
        <f t="shared" ca="1" si="76"/>
        <v>65</v>
      </c>
      <c r="Y408">
        <v>0</v>
      </c>
      <c r="Z408">
        <v>0</v>
      </c>
      <c r="AA408">
        <v>0</v>
      </c>
      <c r="AB408" t="s">
        <v>114</v>
      </c>
      <c r="AC408" t="s">
        <v>115</v>
      </c>
      <c r="AD408">
        <v>1</v>
      </c>
      <c r="AE408">
        <v>52</v>
      </c>
      <c r="AF408">
        <v>2257</v>
      </c>
      <c r="AG408" t="s">
        <v>47</v>
      </c>
      <c r="AH408" t="s">
        <v>226</v>
      </c>
      <c r="AI408" t="s">
        <v>227</v>
      </c>
      <c r="AJ408" t="s">
        <v>50</v>
      </c>
      <c r="AK408" t="s">
        <v>51</v>
      </c>
      <c r="AL408">
        <v>3.6726999999999999</v>
      </c>
      <c r="AM408" t="s">
        <v>52</v>
      </c>
      <c r="AN408" t="s">
        <v>93</v>
      </c>
      <c r="AO408" t="s">
        <v>50</v>
      </c>
      <c r="AP408" t="s">
        <v>94</v>
      </c>
      <c r="AQ408" t="s">
        <v>55</v>
      </c>
    </row>
    <row r="409" spans="1:43" x14ac:dyDescent="0.3">
      <c r="A409" t="s">
        <v>43</v>
      </c>
      <c r="B409">
        <v>1999</v>
      </c>
      <c r="C409">
        <v>535</v>
      </c>
      <c r="D409">
        <v>5211</v>
      </c>
      <c r="E409">
        <v>30</v>
      </c>
      <c r="F409">
        <v>202305</v>
      </c>
      <c r="G409">
        <v>3200342</v>
      </c>
      <c r="H409" t="s">
        <v>81</v>
      </c>
      <c r="I409" t="s">
        <v>45</v>
      </c>
      <c r="J409">
        <v>7</v>
      </c>
      <c r="K409">
        <f t="shared" ca="1" si="67"/>
        <v>0</v>
      </c>
      <c r="L409">
        <f t="shared" ca="1" si="68"/>
        <v>-22</v>
      </c>
      <c r="M409">
        <f t="shared" ca="1" si="69"/>
        <v>333</v>
      </c>
      <c r="N409">
        <f t="shared" ca="1" si="69"/>
        <v>254</v>
      </c>
      <c r="O409">
        <f t="shared" ca="1" si="66"/>
        <v>490</v>
      </c>
      <c r="P409">
        <f t="shared" ca="1" si="70"/>
        <v>1215</v>
      </c>
      <c r="Q409">
        <f t="shared" ca="1" si="71"/>
        <v>1061</v>
      </c>
      <c r="R409">
        <f t="shared" ca="1" si="72"/>
        <v>427</v>
      </c>
      <c r="S409">
        <f t="shared" ca="1" si="73"/>
        <v>140</v>
      </c>
      <c r="T409">
        <f t="shared" ca="1" si="74"/>
        <v>2845</v>
      </c>
      <c r="U409">
        <f t="shared" ca="1" si="75"/>
        <v>1192</v>
      </c>
      <c r="V409">
        <v>0</v>
      </c>
      <c r="W409">
        <v>0</v>
      </c>
      <c r="X409">
        <f t="shared" ca="1" si="76"/>
        <v>-104</v>
      </c>
      <c r="Y409">
        <v>0</v>
      </c>
      <c r="Z409">
        <v>0</v>
      </c>
      <c r="AA409">
        <v>0</v>
      </c>
      <c r="AB409" t="s">
        <v>114</v>
      </c>
      <c r="AC409" t="s">
        <v>116</v>
      </c>
      <c r="AD409">
        <v>1</v>
      </c>
      <c r="AE409">
        <v>52</v>
      </c>
      <c r="AF409">
        <v>2257</v>
      </c>
      <c r="AG409" t="s">
        <v>47</v>
      </c>
      <c r="AH409" t="s">
        <v>226</v>
      </c>
      <c r="AI409" t="s">
        <v>227</v>
      </c>
      <c r="AJ409" t="s">
        <v>50</v>
      </c>
      <c r="AK409" t="s">
        <v>51</v>
      </c>
      <c r="AL409">
        <v>3.6726999999999999</v>
      </c>
      <c r="AM409" t="s">
        <v>52</v>
      </c>
      <c r="AN409" t="s">
        <v>93</v>
      </c>
      <c r="AO409" t="s">
        <v>50</v>
      </c>
      <c r="AP409" t="s">
        <v>94</v>
      </c>
      <c r="AQ409" t="s">
        <v>55</v>
      </c>
    </row>
    <row r="410" spans="1:43" x14ac:dyDescent="0.3">
      <c r="A410" t="s">
        <v>43</v>
      </c>
      <c r="B410">
        <v>1999</v>
      </c>
      <c r="C410">
        <v>535</v>
      </c>
      <c r="D410">
        <v>5211</v>
      </c>
      <c r="E410">
        <v>30</v>
      </c>
      <c r="F410">
        <v>202305</v>
      </c>
      <c r="G410">
        <v>3200343</v>
      </c>
      <c r="H410" t="s">
        <v>81</v>
      </c>
      <c r="I410" t="s">
        <v>45</v>
      </c>
      <c r="J410">
        <v>7</v>
      </c>
      <c r="K410">
        <f t="shared" ca="1" si="67"/>
        <v>24</v>
      </c>
      <c r="L410">
        <f t="shared" ca="1" si="68"/>
        <v>1</v>
      </c>
      <c r="M410">
        <f t="shared" ca="1" si="69"/>
        <v>414</v>
      </c>
      <c r="N410">
        <f t="shared" ca="1" si="69"/>
        <v>168</v>
      </c>
      <c r="O410">
        <f t="shared" ca="1" si="66"/>
        <v>804</v>
      </c>
      <c r="P410">
        <f t="shared" ca="1" si="70"/>
        <v>1169</v>
      </c>
      <c r="Q410">
        <f t="shared" ca="1" si="71"/>
        <v>709</v>
      </c>
      <c r="R410">
        <f t="shared" ca="1" si="72"/>
        <v>-15</v>
      </c>
      <c r="S410">
        <f t="shared" ca="1" si="73"/>
        <v>9112</v>
      </c>
      <c r="T410">
        <f t="shared" ca="1" si="74"/>
        <v>8378</v>
      </c>
      <c r="U410">
        <f t="shared" ca="1" si="75"/>
        <v>-36</v>
      </c>
      <c r="V410">
        <v>0</v>
      </c>
      <c r="W410">
        <v>0</v>
      </c>
      <c r="X410">
        <f t="shared" ca="1" si="76"/>
        <v>-86</v>
      </c>
      <c r="Y410">
        <v>0</v>
      </c>
      <c r="Z410">
        <v>0</v>
      </c>
      <c r="AA410">
        <v>0</v>
      </c>
      <c r="AB410" t="s">
        <v>114</v>
      </c>
      <c r="AC410" t="s">
        <v>117</v>
      </c>
      <c r="AD410">
        <v>1</v>
      </c>
      <c r="AE410">
        <v>52</v>
      </c>
      <c r="AF410">
        <v>2257</v>
      </c>
      <c r="AG410" t="s">
        <v>47</v>
      </c>
      <c r="AH410" t="s">
        <v>226</v>
      </c>
      <c r="AI410" t="s">
        <v>227</v>
      </c>
      <c r="AJ410" t="s">
        <v>50</v>
      </c>
      <c r="AK410" t="s">
        <v>51</v>
      </c>
      <c r="AL410">
        <v>3.6726999999999999</v>
      </c>
      <c r="AM410" t="s">
        <v>52</v>
      </c>
      <c r="AN410" t="s">
        <v>93</v>
      </c>
      <c r="AO410" t="s">
        <v>50</v>
      </c>
      <c r="AP410" t="s">
        <v>94</v>
      </c>
      <c r="AQ410" t="s">
        <v>55</v>
      </c>
    </row>
    <row r="411" spans="1:43" x14ac:dyDescent="0.3">
      <c r="A411" t="s">
        <v>43</v>
      </c>
      <c r="B411">
        <v>1999</v>
      </c>
      <c r="C411">
        <v>535</v>
      </c>
      <c r="D411">
        <v>5211</v>
      </c>
      <c r="E411">
        <v>30</v>
      </c>
      <c r="F411">
        <v>202305</v>
      </c>
      <c r="G411">
        <v>3200344</v>
      </c>
      <c r="H411" t="s">
        <v>81</v>
      </c>
      <c r="I411" t="s">
        <v>45</v>
      </c>
      <c r="J411">
        <v>7</v>
      </c>
      <c r="K411">
        <f t="shared" ca="1" si="67"/>
        <v>51</v>
      </c>
      <c r="L411">
        <f t="shared" ca="1" si="68"/>
        <v>-61</v>
      </c>
      <c r="M411">
        <f t="shared" ca="1" si="69"/>
        <v>215</v>
      </c>
      <c r="N411">
        <f t="shared" ca="1" si="69"/>
        <v>167</v>
      </c>
      <c r="O411">
        <f t="shared" ca="1" si="66"/>
        <v>397</v>
      </c>
      <c r="P411">
        <f t="shared" ca="1" si="70"/>
        <v>120</v>
      </c>
      <c r="Q411">
        <f t="shared" ca="1" si="71"/>
        <v>808</v>
      </c>
      <c r="R411">
        <f t="shared" ca="1" si="72"/>
        <v>-85</v>
      </c>
      <c r="S411">
        <f t="shared" ca="1" si="73"/>
        <v>12968</v>
      </c>
      <c r="T411">
        <f t="shared" ca="1" si="74"/>
        <v>1604</v>
      </c>
      <c r="U411">
        <f t="shared" ca="1" si="75"/>
        <v>1158</v>
      </c>
      <c r="V411">
        <v>0</v>
      </c>
      <c r="W411">
        <v>0</v>
      </c>
      <c r="X411">
        <f t="shared" ca="1" si="76"/>
        <v>-224</v>
      </c>
      <c r="Y411">
        <v>0</v>
      </c>
      <c r="Z411">
        <v>0</v>
      </c>
      <c r="AA411">
        <v>21</v>
      </c>
      <c r="AB411" t="s">
        <v>114</v>
      </c>
      <c r="AC411" t="s">
        <v>118</v>
      </c>
      <c r="AD411">
        <v>1</v>
      </c>
      <c r="AE411">
        <v>52</v>
      </c>
      <c r="AF411">
        <v>2257</v>
      </c>
      <c r="AG411" t="s">
        <v>47</v>
      </c>
      <c r="AH411" t="s">
        <v>226</v>
      </c>
      <c r="AI411" t="s">
        <v>227</v>
      </c>
      <c r="AJ411" t="s">
        <v>50</v>
      </c>
      <c r="AK411" t="s">
        <v>51</v>
      </c>
      <c r="AL411">
        <v>3.6726999999999999</v>
      </c>
      <c r="AM411" t="s">
        <v>52</v>
      </c>
      <c r="AN411" t="s">
        <v>93</v>
      </c>
      <c r="AO411" t="s">
        <v>50</v>
      </c>
      <c r="AP411" t="s">
        <v>94</v>
      </c>
      <c r="AQ411" t="s">
        <v>55</v>
      </c>
    </row>
    <row r="412" spans="1:43" x14ac:dyDescent="0.3">
      <c r="A412" t="s">
        <v>43</v>
      </c>
      <c r="B412">
        <v>1999</v>
      </c>
      <c r="C412">
        <v>535</v>
      </c>
      <c r="D412">
        <v>5211</v>
      </c>
      <c r="E412">
        <v>30</v>
      </c>
      <c r="F412">
        <v>202305</v>
      </c>
      <c r="G412">
        <v>3200345</v>
      </c>
      <c r="H412" t="s">
        <v>81</v>
      </c>
      <c r="I412" t="s">
        <v>45</v>
      </c>
      <c r="J412">
        <v>7</v>
      </c>
      <c r="K412">
        <f t="shared" ca="1" si="67"/>
        <v>5</v>
      </c>
      <c r="L412">
        <f t="shared" ca="1" si="68"/>
        <v>-31</v>
      </c>
      <c r="M412">
        <f t="shared" ca="1" si="69"/>
        <v>313</v>
      </c>
      <c r="N412">
        <f t="shared" ca="1" si="69"/>
        <v>474</v>
      </c>
      <c r="O412">
        <f t="shared" ca="1" si="66"/>
        <v>860</v>
      </c>
      <c r="P412">
        <f t="shared" ca="1" si="70"/>
        <v>652</v>
      </c>
      <c r="Q412">
        <f t="shared" ca="1" si="71"/>
        <v>981</v>
      </c>
      <c r="R412">
        <f t="shared" ca="1" si="72"/>
        <v>-12</v>
      </c>
      <c r="S412">
        <f t="shared" ca="1" si="73"/>
        <v>8023</v>
      </c>
      <c r="T412">
        <f t="shared" ca="1" si="74"/>
        <v>679</v>
      </c>
      <c r="U412">
        <f t="shared" ca="1" si="75"/>
        <v>715</v>
      </c>
      <c r="V412">
        <v>0</v>
      </c>
      <c r="W412">
        <v>0</v>
      </c>
      <c r="X412">
        <f t="shared" ca="1" si="76"/>
        <v>18</v>
      </c>
      <c r="Y412">
        <v>0</v>
      </c>
      <c r="Z412">
        <v>0</v>
      </c>
      <c r="AA412">
        <v>0</v>
      </c>
      <c r="AB412" t="s">
        <v>114</v>
      </c>
      <c r="AC412" t="s">
        <v>119</v>
      </c>
      <c r="AD412">
        <v>1</v>
      </c>
      <c r="AE412">
        <v>52</v>
      </c>
      <c r="AF412">
        <v>2257</v>
      </c>
      <c r="AG412" t="s">
        <v>47</v>
      </c>
      <c r="AH412" t="s">
        <v>226</v>
      </c>
      <c r="AI412" t="s">
        <v>227</v>
      </c>
      <c r="AJ412" t="s">
        <v>50</v>
      </c>
      <c r="AK412" t="s">
        <v>51</v>
      </c>
      <c r="AL412">
        <v>3.6726999999999999</v>
      </c>
      <c r="AM412" t="s">
        <v>52</v>
      </c>
      <c r="AN412" t="s">
        <v>93</v>
      </c>
      <c r="AO412" t="s">
        <v>50</v>
      </c>
      <c r="AP412" t="s">
        <v>94</v>
      </c>
      <c r="AQ412" t="s">
        <v>55</v>
      </c>
    </row>
    <row r="413" spans="1:43" x14ac:dyDescent="0.3">
      <c r="A413" t="s">
        <v>43</v>
      </c>
      <c r="B413">
        <v>1999</v>
      </c>
      <c r="C413">
        <v>535</v>
      </c>
      <c r="D413">
        <v>5211</v>
      </c>
      <c r="E413">
        <v>30</v>
      </c>
      <c r="F413">
        <v>202305</v>
      </c>
      <c r="G413">
        <v>3300347</v>
      </c>
      <c r="H413" t="s">
        <v>81</v>
      </c>
      <c r="I413" t="s">
        <v>45</v>
      </c>
      <c r="J413">
        <v>7</v>
      </c>
      <c r="K413">
        <f t="shared" ca="1" si="67"/>
        <v>99</v>
      </c>
      <c r="L413">
        <f t="shared" ca="1" si="68"/>
        <v>82</v>
      </c>
      <c r="M413">
        <f t="shared" ca="1" si="69"/>
        <v>282</v>
      </c>
      <c r="N413">
        <f t="shared" ca="1" si="69"/>
        <v>80</v>
      </c>
      <c r="O413">
        <f t="shared" ca="1" si="66"/>
        <v>282</v>
      </c>
      <c r="P413">
        <f t="shared" ca="1" si="70"/>
        <v>1082</v>
      </c>
      <c r="Q413">
        <f t="shared" ca="1" si="71"/>
        <v>774</v>
      </c>
      <c r="R413">
        <f t="shared" ca="1" si="72"/>
        <v>-57</v>
      </c>
      <c r="S413">
        <f t="shared" ca="1" si="73"/>
        <v>10576</v>
      </c>
      <c r="T413">
        <f t="shared" ca="1" si="74"/>
        <v>3576</v>
      </c>
      <c r="U413">
        <f t="shared" ca="1" si="75"/>
        <v>892</v>
      </c>
      <c r="V413">
        <v>0</v>
      </c>
      <c r="W413">
        <v>0</v>
      </c>
      <c r="X413">
        <f t="shared" ca="1" si="76"/>
        <v>-19</v>
      </c>
      <c r="Y413">
        <v>0</v>
      </c>
      <c r="Z413">
        <v>0</v>
      </c>
      <c r="AA413">
        <v>0</v>
      </c>
      <c r="AB413" t="s">
        <v>91</v>
      </c>
      <c r="AC413" t="s">
        <v>92</v>
      </c>
      <c r="AD413">
        <v>1</v>
      </c>
      <c r="AE413">
        <v>52</v>
      </c>
      <c r="AF413">
        <v>2257</v>
      </c>
      <c r="AG413" t="s">
        <v>47</v>
      </c>
      <c r="AH413" t="s">
        <v>226</v>
      </c>
      <c r="AI413" t="s">
        <v>227</v>
      </c>
      <c r="AJ413" t="s">
        <v>50</v>
      </c>
      <c r="AK413" t="s">
        <v>51</v>
      </c>
      <c r="AL413">
        <v>3.6726999999999999</v>
      </c>
      <c r="AM413" t="s">
        <v>52</v>
      </c>
      <c r="AN413" t="s">
        <v>93</v>
      </c>
      <c r="AO413" t="s">
        <v>50</v>
      </c>
      <c r="AP413" t="s">
        <v>94</v>
      </c>
      <c r="AQ413" t="s">
        <v>55</v>
      </c>
    </row>
    <row r="414" spans="1:43" x14ac:dyDescent="0.3">
      <c r="A414" t="s">
        <v>43</v>
      </c>
      <c r="B414">
        <v>1999</v>
      </c>
      <c r="C414">
        <v>535</v>
      </c>
      <c r="D414">
        <v>5211</v>
      </c>
      <c r="E414">
        <v>30</v>
      </c>
      <c r="F414">
        <v>202305</v>
      </c>
      <c r="G414">
        <v>3300351</v>
      </c>
      <c r="H414" t="s">
        <v>81</v>
      </c>
      <c r="I414" t="s">
        <v>45</v>
      </c>
      <c r="J414">
        <v>7</v>
      </c>
      <c r="K414">
        <f t="shared" ca="1" si="67"/>
        <v>87</v>
      </c>
      <c r="L414">
        <f t="shared" ca="1" si="68"/>
        <v>-48</v>
      </c>
      <c r="M414">
        <f t="shared" ca="1" si="69"/>
        <v>236</v>
      </c>
      <c r="N414">
        <f t="shared" ca="1" si="69"/>
        <v>239</v>
      </c>
      <c r="O414">
        <f t="shared" ca="1" si="66"/>
        <v>948</v>
      </c>
      <c r="P414">
        <f t="shared" ca="1" si="70"/>
        <v>132</v>
      </c>
      <c r="Q414">
        <f t="shared" ca="1" si="71"/>
        <v>55</v>
      </c>
      <c r="R414">
        <f t="shared" ca="1" si="72"/>
        <v>48</v>
      </c>
      <c r="S414">
        <f t="shared" ca="1" si="73"/>
        <v>5068</v>
      </c>
      <c r="T414">
        <f t="shared" ca="1" si="74"/>
        <v>3966</v>
      </c>
      <c r="U414">
        <f t="shared" ca="1" si="75"/>
        <v>30</v>
      </c>
      <c r="V414">
        <v>0</v>
      </c>
      <c r="W414">
        <v>0</v>
      </c>
      <c r="X414">
        <f t="shared" ca="1" si="76"/>
        <v>-483</v>
      </c>
      <c r="Y414">
        <v>0</v>
      </c>
      <c r="Z414">
        <v>0</v>
      </c>
      <c r="AA414">
        <v>4</v>
      </c>
      <c r="AB414" t="s">
        <v>91</v>
      </c>
      <c r="AC414" t="s">
        <v>121</v>
      </c>
      <c r="AD414">
        <v>1</v>
      </c>
      <c r="AE414">
        <v>52</v>
      </c>
      <c r="AF414">
        <v>2257</v>
      </c>
      <c r="AG414" t="s">
        <v>47</v>
      </c>
      <c r="AH414" t="s">
        <v>226</v>
      </c>
      <c r="AI414" t="s">
        <v>227</v>
      </c>
      <c r="AJ414" t="s">
        <v>50</v>
      </c>
      <c r="AK414" t="s">
        <v>51</v>
      </c>
      <c r="AL414">
        <v>3.6726999999999999</v>
      </c>
      <c r="AM414" t="s">
        <v>52</v>
      </c>
      <c r="AN414" t="s">
        <v>93</v>
      </c>
      <c r="AO414" t="s">
        <v>50</v>
      </c>
      <c r="AP414" t="s">
        <v>94</v>
      </c>
      <c r="AQ414" t="s">
        <v>55</v>
      </c>
    </row>
    <row r="415" spans="1:43" x14ac:dyDescent="0.3">
      <c r="A415" t="s">
        <v>43</v>
      </c>
      <c r="B415">
        <v>1999</v>
      </c>
      <c r="C415">
        <v>535</v>
      </c>
      <c r="D415">
        <v>5231</v>
      </c>
      <c r="E415">
        <v>1</v>
      </c>
      <c r="F415">
        <v>202305</v>
      </c>
      <c r="G415">
        <v>1</v>
      </c>
      <c r="H415" t="s">
        <v>56</v>
      </c>
      <c r="I415" t="s">
        <v>45</v>
      </c>
      <c r="J415">
        <v>2</v>
      </c>
      <c r="K415">
        <f t="shared" ca="1" si="67"/>
        <v>38</v>
      </c>
      <c r="L415">
        <f t="shared" ca="1" si="68"/>
        <v>45</v>
      </c>
      <c r="M415">
        <f t="shared" ca="1" si="69"/>
        <v>73</v>
      </c>
      <c r="N415">
        <f t="shared" ca="1" si="69"/>
        <v>-19</v>
      </c>
      <c r="O415">
        <f t="shared" ca="1" si="66"/>
        <v>146</v>
      </c>
      <c r="P415">
        <f t="shared" ca="1" si="70"/>
        <v>312</v>
      </c>
      <c r="Q415">
        <f t="shared" ca="1" si="71"/>
        <v>699</v>
      </c>
      <c r="R415">
        <f t="shared" ca="1" si="72"/>
        <v>240</v>
      </c>
      <c r="S415">
        <f t="shared" ca="1" si="73"/>
        <v>4494</v>
      </c>
      <c r="T415">
        <f t="shared" ca="1" si="74"/>
        <v>7544</v>
      </c>
      <c r="U415">
        <f t="shared" ca="1" si="75"/>
        <v>725</v>
      </c>
      <c r="V415">
        <v>0</v>
      </c>
      <c r="W415">
        <v>0</v>
      </c>
      <c r="X415">
        <f t="shared" ca="1" si="76"/>
        <v>-71</v>
      </c>
      <c r="Y415">
        <v>0</v>
      </c>
      <c r="Z415">
        <v>0</v>
      </c>
      <c r="AA415">
        <v>0</v>
      </c>
      <c r="AB415" t="s">
        <v>57</v>
      </c>
      <c r="AD415">
        <v>1</v>
      </c>
      <c r="AE415">
        <v>52</v>
      </c>
      <c r="AF415">
        <v>2257</v>
      </c>
      <c r="AG415" t="s">
        <v>47</v>
      </c>
      <c r="AH415" t="s">
        <v>226</v>
      </c>
      <c r="AI415" t="s">
        <v>227</v>
      </c>
      <c r="AJ415" t="s">
        <v>50</v>
      </c>
      <c r="AK415" t="s">
        <v>51</v>
      </c>
      <c r="AL415">
        <v>3.6726999999999999</v>
      </c>
      <c r="AM415" t="s">
        <v>52</v>
      </c>
      <c r="AN415" t="s">
        <v>246</v>
      </c>
      <c r="AO415" t="s">
        <v>59</v>
      </c>
      <c r="AP415" t="s">
        <v>247</v>
      </c>
      <c r="AQ415" t="s">
        <v>55</v>
      </c>
    </row>
    <row r="416" spans="1:43" x14ac:dyDescent="0.3">
      <c r="A416" t="s">
        <v>43</v>
      </c>
      <c r="B416">
        <v>1999</v>
      </c>
      <c r="C416">
        <v>535</v>
      </c>
      <c r="D416">
        <v>5231</v>
      </c>
      <c r="E416">
        <v>1</v>
      </c>
      <c r="F416">
        <v>202305</v>
      </c>
      <c r="G416">
        <v>2</v>
      </c>
      <c r="H416" t="s">
        <v>56</v>
      </c>
      <c r="I416" t="s">
        <v>45</v>
      </c>
      <c r="J416">
        <v>2</v>
      </c>
      <c r="K416">
        <f t="shared" ca="1" si="67"/>
        <v>91</v>
      </c>
      <c r="L416">
        <f t="shared" ca="1" si="68"/>
        <v>-75</v>
      </c>
      <c r="M416">
        <f t="shared" ca="1" si="69"/>
        <v>-46</v>
      </c>
      <c r="N416">
        <f t="shared" ca="1" si="69"/>
        <v>283</v>
      </c>
      <c r="O416">
        <f t="shared" ca="1" si="66"/>
        <v>487</v>
      </c>
      <c r="P416">
        <f t="shared" ca="1" si="70"/>
        <v>-417</v>
      </c>
      <c r="Q416">
        <f t="shared" ca="1" si="71"/>
        <v>830</v>
      </c>
      <c r="R416">
        <f t="shared" ca="1" si="72"/>
        <v>206</v>
      </c>
      <c r="S416">
        <f t="shared" ca="1" si="73"/>
        <v>8277</v>
      </c>
      <c r="T416">
        <f t="shared" ca="1" si="74"/>
        <v>2742</v>
      </c>
      <c r="U416">
        <f t="shared" ca="1" si="75"/>
        <v>207</v>
      </c>
      <c r="V416">
        <v>0</v>
      </c>
      <c r="W416">
        <v>0</v>
      </c>
      <c r="X416">
        <f t="shared" ca="1" si="76"/>
        <v>97</v>
      </c>
      <c r="Y416">
        <v>0</v>
      </c>
      <c r="Z416">
        <v>0</v>
      </c>
      <c r="AA416">
        <v>0</v>
      </c>
      <c r="AB416" t="s">
        <v>61</v>
      </c>
      <c r="AD416">
        <v>1</v>
      </c>
      <c r="AE416">
        <v>52</v>
      </c>
      <c r="AF416">
        <v>2257</v>
      </c>
      <c r="AG416" t="s">
        <v>47</v>
      </c>
      <c r="AH416" t="s">
        <v>226</v>
      </c>
      <c r="AI416" t="s">
        <v>227</v>
      </c>
      <c r="AJ416" t="s">
        <v>50</v>
      </c>
      <c r="AK416" t="s">
        <v>51</v>
      </c>
      <c r="AL416">
        <v>3.6726999999999999</v>
      </c>
      <c r="AM416" t="s">
        <v>52</v>
      </c>
      <c r="AN416" t="s">
        <v>246</v>
      </c>
      <c r="AO416" t="s">
        <v>59</v>
      </c>
      <c r="AP416" t="s">
        <v>247</v>
      </c>
      <c r="AQ416" t="s">
        <v>55</v>
      </c>
    </row>
    <row r="417" spans="1:43" x14ac:dyDescent="0.3">
      <c r="A417" t="s">
        <v>43</v>
      </c>
      <c r="B417">
        <v>1999</v>
      </c>
      <c r="C417">
        <v>535</v>
      </c>
      <c r="D417">
        <v>5231</v>
      </c>
      <c r="E417">
        <v>1</v>
      </c>
      <c r="F417">
        <v>202305</v>
      </c>
      <c r="G417">
        <v>3</v>
      </c>
      <c r="H417" t="s">
        <v>56</v>
      </c>
      <c r="I417" t="s">
        <v>45</v>
      </c>
      <c r="J417">
        <v>2</v>
      </c>
      <c r="K417">
        <f t="shared" ca="1" si="67"/>
        <v>31</v>
      </c>
      <c r="L417">
        <f t="shared" ca="1" si="68"/>
        <v>-79</v>
      </c>
      <c r="M417">
        <f t="shared" ca="1" si="69"/>
        <v>236</v>
      </c>
      <c r="N417">
        <f t="shared" ca="1" si="69"/>
        <v>-37</v>
      </c>
      <c r="O417">
        <f t="shared" ca="1" si="66"/>
        <v>579</v>
      </c>
      <c r="P417">
        <f t="shared" ca="1" si="70"/>
        <v>-496</v>
      </c>
      <c r="Q417">
        <f t="shared" ca="1" si="71"/>
        <v>895</v>
      </c>
      <c r="R417">
        <f t="shared" ca="1" si="72"/>
        <v>333</v>
      </c>
      <c r="S417">
        <f t="shared" ca="1" si="73"/>
        <v>674</v>
      </c>
      <c r="T417">
        <f t="shared" ca="1" si="74"/>
        <v>6995</v>
      </c>
      <c r="U417">
        <f t="shared" ca="1" si="75"/>
        <v>432</v>
      </c>
      <c r="V417">
        <v>0</v>
      </c>
      <c r="W417">
        <v>0</v>
      </c>
      <c r="X417">
        <f t="shared" ca="1" si="76"/>
        <v>-382</v>
      </c>
      <c r="Y417">
        <v>0</v>
      </c>
      <c r="Z417">
        <v>0</v>
      </c>
      <c r="AA417">
        <v>0</v>
      </c>
      <c r="AB417" t="s">
        <v>62</v>
      </c>
      <c r="AD417">
        <v>1</v>
      </c>
      <c r="AE417">
        <v>52</v>
      </c>
      <c r="AF417">
        <v>2257</v>
      </c>
      <c r="AG417" t="s">
        <v>47</v>
      </c>
      <c r="AH417" t="s">
        <v>226</v>
      </c>
      <c r="AI417" t="s">
        <v>227</v>
      </c>
      <c r="AJ417" t="s">
        <v>50</v>
      </c>
      <c r="AK417" t="s">
        <v>51</v>
      </c>
      <c r="AL417">
        <v>3.6726999999999999</v>
      </c>
      <c r="AM417" t="s">
        <v>52</v>
      </c>
      <c r="AN417" t="s">
        <v>246</v>
      </c>
      <c r="AO417" t="s">
        <v>59</v>
      </c>
      <c r="AP417" t="s">
        <v>247</v>
      </c>
      <c r="AQ417" t="s">
        <v>55</v>
      </c>
    </row>
    <row r="418" spans="1:43" x14ac:dyDescent="0.3">
      <c r="A418" t="s">
        <v>43</v>
      </c>
      <c r="B418">
        <v>1999</v>
      </c>
      <c r="C418">
        <v>535</v>
      </c>
      <c r="D418">
        <v>5231</v>
      </c>
      <c r="E418">
        <v>1</v>
      </c>
      <c r="F418">
        <v>202305</v>
      </c>
      <c r="G418">
        <v>4</v>
      </c>
      <c r="H418" t="s">
        <v>56</v>
      </c>
      <c r="I418" t="s">
        <v>45</v>
      </c>
      <c r="J418">
        <v>2</v>
      </c>
      <c r="K418">
        <f t="shared" ca="1" si="67"/>
        <v>54</v>
      </c>
      <c r="L418">
        <f t="shared" ca="1" si="68"/>
        <v>94</v>
      </c>
      <c r="M418">
        <f t="shared" ca="1" si="69"/>
        <v>-99</v>
      </c>
      <c r="N418">
        <f t="shared" ca="1" si="69"/>
        <v>347</v>
      </c>
      <c r="O418">
        <f t="shared" ca="1" si="66"/>
        <v>111</v>
      </c>
      <c r="P418">
        <f t="shared" ca="1" si="70"/>
        <v>1475</v>
      </c>
      <c r="Q418">
        <f t="shared" ca="1" si="71"/>
        <v>457</v>
      </c>
      <c r="R418">
        <f t="shared" ca="1" si="72"/>
        <v>374</v>
      </c>
      <c r="S418">
        <f t="shared" ca="1" si="73"/>
        <v>9094</v>
      </c>
      <c r="T418">
        <f t="shared" ca="1" si="74"/>
        <v>2144</v>
      </c>
      <c r="U418">
        <f t="shared" ca="1" si="75"/>
        <v>380</v>
      </c>
      <c r="V418">
        <v>0</v>
      </c>
      <c r="W418">
        <v>0</v>
      </c>
      <c r="X418">
        <f t="shared" ca="1" si="76"/>
        <v>25</v>
      </c>
      <c r="Y418">
        <v>0</v>
      </c>
      <c r="Z418">
        <v>0</v>
      </c>
      <c r="AA418">
        <v>0</v>
      </c>
      <c r="AB418" t="s">
        <v>63</v>
      </c>
      <c r="AD418">
        <v>1</v>
      </c>
      <c r="AE418">
        <v>52</v>
      </c>
      <c r="AF418">
        <v>2257</v>
      </c>
      <c r="AG418" t="s">
        <v>47</v>
      </c>
      <c r="AH418" t="s">
        <v>226</v>
      </c>
      <c r="AI418" t="s">
        <v>227</v>
      </c>
      <c r="AJ418" t="s">
        <v>50</v>
      </c>
      <c r="AK418" t="s">
        <v>51</v>
      </c>
      <c r="AL418">
        <v>3.6726999999999999</v>
      </c>
      <c r="AM418" t="s">
        <v>52</v>
      </c>
      <c r="AN418" t="s">
        <v>246</v>
      </c>
      <c r="AO418" t="s">
        <v>59</v>
      </c>
      <c r="AP418" t="s">
        <v>247</v>
      </c>
      <c r="AQ418" t="s">
        <v>55</v>
      </c>
    </row>
    <row r="419" spans="1:43" x14ac:dyDescent="0.3">
      <c r="A419" t="s">
        <v>43</v>
      </c>
      <c r="B419">
        <v>1999</v>
      </c>
      <c r="C419">
        <v>535</v>
      </c>
      <c r="D419">
        <v>5231</v>
      </c>
      <c r="E419">
        <v>1</v>
      </c>
      <c r="F419">
        <v>202305</v>
      </c>
      <c r="G419">
        <v>5</v>
      </c>
      <c r="H419" t="s">
        <v>56</v>
      </c>
      <c r="I419" t="s">
        <v>45</v>
      </c>
      <c r="J419">
        <v>2</v>
      </c>
      <c r="K419">
        <f t="shared" ca="1" si="67"/>
        <v>30</v>
      </c>
      <c r="L419">
        <f t="shared" ca="1" si="68"/>
        <v>3</v>
      </c>
      <c r="M419">
        <f t="shared" ca="1" si="69"/>
        <v>-9</v>
      </c>
      <c r="N419">
        <f t="shared" ca="1" si="69"/>
        <v>141</v>
      </c>
      <c r="O419">
        <f t="shared" ca="1" si="66"/>
        <v>-78</v>
      </c>
      <c r="P419">
        <f t="shared" ca="1" si="70"/>
        <v>1472</v>
      </c>
      <c r="Q419">
        <f t="shared" ca="1" si="71"/>
        <v>996</v>
      </c>
      <c r="R419">
        <f t="shared" ca="1" si="72"/>
        <v>-10</v>
      </c>
      <c r="S419">
        <f t="shared" ca="1" si="73"/>
        <v>7362</v>
      </c>
      <c r="T419">
        <f t="shared" ca="1" si="74"/>
        <v>6341</v>
      </c>
      <c r="U419">
        <f t="shared" ca="1" si="75"/>
        <v>739</v>
      </c>
      <c r="V419">
        <v>0</v>
      </c>
      <c r="W419">
        <v>0</v>
      </c>
      <c r="X419">
        <f t="shared" ca="1" si="76"/>
        <v>-28</v>
      </c>
      <c r="Y419">
        <v>0</v>
      </c>
      <c r="Z419">
        <v>0</v>
      </c>
      <c r="AA419">
        <v>0</v>
      </c>
      <c r="AB419" t="s">
        <v>64</v>
      </c>
      <c r="AD419">
        <v>1</v>
      </c>
      <c r="AE419">
        <v>52</v>
      </c>
      <c r="AF419">
        <v>2257</v>
      </c>
      <c r="AG419" t="s">
        <v>47</v>
      </c>
      <c r="AH419" t="s">
        <v>226</v>
      </c>
      <c r="AI419" t="s">
        <v>227</v>
      </c>
      <c r="AJ419" t="s">
        <v>50</v>
      </c>
      <c r="AK419" t="s">
        <v>51</v>
      </c>
      <c r="AL419">
        <v>3.6726999999999999</v>
      </c>
      <c r="AM419" t="s">
        <v>52</v>
      </c>
      <c r="AN419" t="s">
        <v>246</v>
      </c>
      <c r="AO419" t="s">
        <v>59</v>
      </c>
      <c r="AP419" t="s">
        <v>247</v>
      </c>
      <c r="AQ419" t="s">
        <v>55</v>
      </c>
    </row>
    <row r="420" spans="1:43" x14ac:dyDescent="0.3">
      <c r="A420" t="s">
        <v>43</v>
      </c>
      <c r="B420">
        <v>1999</v>
      </c>
      <c r="C420">
        <v>535</v>
      </c>
      <c r="D420">
        <v>5231</v>
      </c>
      <c r="E420">
        <v>1</v>
      </c>
      <c r="F420">
        <v>202305</v>
      </c>
      <c r="G420">
        <v>11</v>
      </c>
      <c r="H420" t="s">
        <v>56</v>
      </c>
      <c r="I420" t="s">
        <v>45</v>
      </c>
      <c r="J420">
        <v>2</v>
      </c>
      <c r="K420">
        <f t="shared" ca="1" si="67"/>
        <v>21</v>
      </c>
      <c r="L420">
        <f t="shared" ca="1" si="68"/>
        <v>-43</v>
      </c>
      <c r="M420">
        <f t="shared" ca="1" si="69"/>
        <v>28</v>
      </c>
      <c r="N420">
        <f t="shared" ca="1" si="69"/>
        <v>128</v>
      </c>
      <c r="O420">
        <f t="shared" ca="1" si="66"/>
        <v>836</v>
      </c>
      <c r="P420">
        <f t="shared" ca="1" si="70"/>
        <v>1120</v>
      </c>
      <c r="Q420">
        <f t="shared" ca="1" si="71"/>
        <v>5</v>
      </c>
      <c r="R420">
        <f t="shared" ca="1" si="72"/>
        <v>-57</v>
      </c>
      <c r="S420">
        <f t="shared" ca="1" si="73"/>
        <v>3481</v>
      </c>
      <c r="T420">
        <f t="shared" ca="1" si="74"/>
        <v>1167</v>
      </c>
      <c r="U420">
        <f t="shared" ca="1" si="75"/>
        <v>1126</v>
      </c>
      <c r="V420">
        <v>0</v>
      </c>
      <c r="W420">
        <v>0</v>
      </c>
      <c r="X420">
        <f t="shared" ca="1" si="76"/>
        <v>-191</v>
      </c>
      <c r="Y420">
        <v>0</v>
      </c>
      <c r="Z420">
        <v>0</v>
      </c>
      <c r="AA420">
        <v>2</v>
      </c>
      <c r="AB420" t="s">
        <v>65</v>
      </c>
      <c r="AD420">
        <v>1</v>
      </c>
      <c r="AE420">
        <v>52</v>
      </c>
      <c r="AF420">
        <v>2257</v>
      </c>
      <c r="AG420" t="s">
        <v>47</v>
      </c>
      <c r="AH420" t="s">
        <v>226</v>
      </c>
      <c r="AI420" t="s">
        <v>227</v>
      </c>
      <c r="AJ420" t="s">
        <v>50</v>
      </c>
      <c r="AK420" t="s">
        <v>51</v>
      </c>
      <c r="AL420">
        <v>3.6726999999999999</v>
      </c>
      <c r="AM420" t="s">
        <v>52</v>
      </c>
      <c r="AN420" t="s">
        <v>246</v>
      </c>
      <c r="AO420" t="s">
        <v>59</v>
      </c>
      <c r="AP420" t="s">
        <v>247</v>
      </c>
      <c r="AQ420" t="s">
        <v>55</v>
      </c>
    </row>
    <row r="421" spans="1:43" x14ac:dyDescent="0.3">
      <c r="A421" t="s">
        <v>43</v>
      </c>
      <c r="B421">
        <v>1999</v>
      </c>
      <c r="C421">
        <v>535</v>
      </c>
      <c r="D421">
        <v>5231</v>
      </c>
      <c r="E421">
        <v>4</v>
      </c>
      <c r="F421">
        <v>202305</v>
      </c>
      <c r="G421">
        <v>100001</v>
      </c>
      <c r="H421" t="s">
        <v>228</v>
      </c>
      <c r="I421" t="s">
        <v>45</v>
      </c>
      <c r="J421">
        <v>7</v>
      </c>
      <c r="K421">
        <f t="shared" ca="1" si="67"/>
        <v>24</v>
      </c>
      <c r="L421">
        <f t="shared" ca="1" si="68"/>
        <v>-54</v>
      </c>
      <c r="M421">
        <f t="shared" ca="1" si="69"/>
        <v>74</v>
      </c>
      <c r="N421">
        <f t="shared" ca="1" si="69"/>
        <v>191</v>
      </c>
      <c r="O421">
        <f t="shared" ca="1" si="66"/>
        <v>517</v>
      </c>
      <c r="P421">
        <f t="shared" ca="1" si="70"/>
        <v>-143</v>
      </c>
      <c r="Q421">
        <f t="shared" ca="1" si="71"/>
        <v>461</v>
      </c>
      <c r="R421">
        <f t="shared" ca="1" si="72"/>
        <v>454</v>
      </c>
      <c r="S421">
        <f t="shared" ca="1" si="73"/>
        <v>12622</v>
      </c>
      <c r="T421">
        <f t="shared" ca="1" si="74"/>
        <v>1184</v>
      </c>
      <c r="U421">
        <f t="shared" ca="1" si="75"/>
        <v>484</v>
      </c>
      <c r="V421">
        <v>0</v>
      </c>
      <c r="W421">
        <v>0</v>
      </c>
      <c r="X421">
        <f t="shared" ca="1" si="76"/>
        <v>-419</v>
      </c>
      <c r="Y421">
        <v>0</v>
      </c>
      <c r="Z421">
        <v>0</v>
      </c>
      <c r="AA421">
        <v>0</v>
      </c>
      <c r="AB421" t="s">
        <v>57</v>
      </c>
      <c r="AC421" t="s">
        <v>67</v>
      </c>
      <c r="AD421">
        <v>1</v>
      </c>
      <c r="AE421">
        <v>52</v>
      </c>
      <c r="AF421">
        <v>2257</v>
      </c>
      <c r="AG421" t="s">
        <v>47</v>
      </c>
      <c r="AH421" t="s">
        <v>226</v>
      </c>
      <c r="AI421" t="s">
        <v>227</v>
      </c>
      <c r="AJ421" t="s">
        <v>50</v>
      </c>
      <c r="AK421" t="s">
        <v>51</v>
      </c>
      <c r="AL421">
        <v>3.6726999999999999</v>
      </c>
      <c r="AM421" t="s">
        <v>52</v>
      </c>
      <c r="AN421" t="s">
        <v>246</v>
      </c>
      <c r="AO421" t="s">
        <v>229</v>
      </c>
      <c r="AP421" t="s">
        <v>247</v>
      </c>
      <c r="AQ421" t="s">
        <v>55</v>
      </c>
    </row>
    <row r="422" spans="1:43" x14ac:dyDescent="0.3">
      <c r="A422" t="s">
        <v>43</v>
      </c>
      <c r="B422">
        <v>1999</v>
      </c>
      <c r="C422">
        <v>535</v>
      </c>
      <c r="D422">
        <v>5231</v>
      </c>
      <c r="E422">
        <v>4</v>
      </c>
      <c r="F422">
        <v>202305</v>
      </c>
      <c r="G422">
        <v>300021</v>
      </c>
      <c r="H422" t="s">
        <v>228</v>
      </c>
      <c r="I422" t="s">
        <v>45</v>
      </c>
      <c r="J422">
        <v>7</v>
      </c>
      <c r="K422">
        <f t="shared" ca="1" si="67"/>
        <v>70</v>
      </c>
      <c r="L422">
        <f t="shared" ca="1" si="68"/>
        <v>17</v>
      </c>
      <c r="M422">
        <f t="shared" ca="1" si="69"/>
        <v>134</v>
      </c>
      <c r="N422">
        <f t="shared" ca="1" si="69"/>
        <v>346</v>
      </c>
      <c r="O422">
        <f t="shared" ca="1" si="66"/>
        <v>708</v>
      </c>
      <c r="P422">
        <f t="shared" ca="1" si="70"/>
        <v>-424</v>
      </c>
      <c r="Q422">
        <f t="shared" ca="1" si="71"/>
        <v>672</v>
      </c>
      <c r="R422">
        <f t="shared" ca="1" si="72"/>
        <v>378</v>
      </c>
      <c r="S422">
        <f t="shared" ca="1" si="73"/>
        <v>5795</v>
      </c>
      <c r="T422">
        <f t="shared" ca="1" si="74"/>
        <v>7606</v>
      </c>
      <c r="U422">
        <f t="shared" ca="1" si="75"/>
        <v>87</v>
      </c>
      <c r="V422">
        <v>0</v>
      </c>
      <c r="W422">
        <v>0</v>
      </c>
      <c r="X422">
        <f t="shared" ca="1" si="76"/>
        <v>-21</v>
      </c>
      <c r="Y422">
        <v>0</v>
      </c>
      <c r="Z422">
        <v>0</v>
      </c>
      <c r="AA422">
        <v>0</v>
      </c>
      <c r="AB422" t="s">
        <v>62</v>
      </c>
      <c r="AC422" t="s">
        <v>75</v>
      </c>
      <c r="AD422">
        <v>1</v>
      </c>
      <c r="AE422">
        <v>52</v>
      </c>
      <c r="AF422">
        <v>2257</v>
      </c>
      <c r="AG422" t="s">
        <v>47</v>
      </c>
      <c r="AH422" t="s">
        <v>226</v>
      </c>
      <c r="AI422" t="s">
        <v>227</v>
      </c>
      <c r="AJ422" t="s">
        <v>50</v>
      </c>
      <c r="AK422" t="s">
        <v>51</v>
      </c>
      <c r="AL422">
        <v>3.6726999999999999</v>
      </c>
      <c r="AM422" t="s">
        <v>52</v>
      </c>
      <c r="AN422" t="s">
        <v>246</v>
      </c>
      <c r="AO422" t="s">
        <v>229</v>
      </c>
      <c r="AP422" t="s">
        <v>247</v>
      </c>
      <c r="AQ422" t="s">
        <v>55</v>
      </c>
    </row>
    <row r="423" spans="1:43" x14ac:dyDescent="0.3">
      <c r="A423" t="s">
        <v>43</v>
      </c>
      <c r="B423">
        <v>1999</v>
      </c>
      <c r="C423">
        <v>535</v>
      </c>
      <c r="D423">
        <v>5231</v>
      </c>
      <c r="E423">
        <v>4</v>
      </c>
      <c r="F423">
        <v>202305</v>
      </c>
      <c r="G423">
        <v>1100104</v>
      </c>
      <c r="H423" t="s">
        <v>228</v>
      </c>
      <c r="I423" t="s">
        <v>45</v>
      </c>
      <c r="J423">
        <v>7</v>
      </c>
      <c r="K423">
        <f t="shared" ca="1" si="67"/>
        <v>11</v>
      </c>
      <c r="L423">
        <f t="shared" ca="1" si="68"/>
        <v>18</v>
      </c>
      <c r="M423">
        <f t="shared" ca="1" si="69"/>
        <v>-15</v>
      </c>
      <c r="N423">
        <f t="shared" ca="1" si="69"/>
        <v>349</v>
      </c>
      <c r="O423">
        <f t="shared" ca="1" si="66"/>
        <v>898</v>
      </c>
      <c r="P423">
        <f t="shared" ca="1" si="70"/>
        <v>1071</v>
      </c>
      <c r="Q423">
        <f t="shared" ca="1" si="71"/>
        <v>110</v>
      </c>
      <c r="R423">
        <f t="shared" ca="1" si="72"/>
        <v>139</v>
      </c>
      <c r="S423">
        <f t="shared" ca="1" si="73"/>
        <v>9695</v>
      </c>
      <c r="T423">
        <f t="shared" ca="1" si="74"/>
        <v>8723</v>
      </c>
      <c r="U423">
        <f t="shared" ca="1" si="75"/>
        <v>723</v>
      </c>
      <c r="V423">
        <v>0</v>
      </c>
      <c r="W423">
        <v>0</v>
      </c>
      <c r="X423">
        <f t="shared" ca="1" si="76"/>
        <v>-189</v>
      </c>
      <c r="Y423">
        <v>0</v>
      </c>
      <c r="Z423">
        <v>0</v>
      </c>
      <c r="AA423">
        <v>0</v>
      </c>
      <c r="AB423" t="s">
        <v>65</v>
      </c>
      <c r="AC423" t="s">
        <v>76</v>
      </c>
      <c r="AD423">
        <v>1</v>
      </c>
      <c r="AE423">
        <v>52</v>
      </c>
      <c r="AF423">
        <v>2257</v>
      </c>
      <c r="AG423" t="s">
        <v>47</v>
      </c>
      <c r="AH423" t="s">
        <v>226</v>
      </c>
      <c r="AI423" t="s">
        <v>227</v>
      </c>
      <c r="AJ423" t="s">
        <v>50</v>
      </c>
      <c r="AK423" t="s">
        <v>51</v>
      </c>
      <c r="AL423">
        <v>3.6726999999999999</v>
      </c>
      <c r="AM423" t="s">
        <v>52</v>
      </c>
      <c r="AN423" t="s">
        <v>246</v>
      </c>
      <c r="AO423" t="s">
        <v>229</v>
      </c>
      <c r="AP423" t="s">
        <v>247</v>
      </c>
      <c r="AQ423" t="s">
        <v>55</v>
      </c>
    </row>
    <row r="424" spans="1:43" x14ac:dyDescent="0.3">
      <c r="A424" t="s">
        <v>43</v>
      </c>
      <c r="B424">
        <v>1999</v>
      </c>
      <c r="C424">
        <v>535</v>
      </c>
      <c r="D424">
        <v>5231</v>
      </c>
      <c r="E424">
        <v>4</v>
      </c>
      <c r="F424">
        <v>202305</v>
      </c>
      <c r="G424">
        <v>1101210</v>
      </c>
      <c r="H424" t="s">
        <v>228</v>
      </c>
      <c r="I424" t="s">
        <v>45</v>
      </c>
      <c r="J424">
        <v>7</v>
      </c>
      <c r="K424">
        <f t="shared" ca="1" si="67"/>
        <v>63</v>
      </c>
      <c r="L424">
        <f t="shared" ca="1" si="68"/>
        <v>-23</v>
      </c>
      <c r="M424">
        <f t="shared" ca="1" si="69"/>
        <v>218</v>
      </c>
      <c r="N424">
        <f t="shared" ca="1" si="69"/>
        <v>367</v>
      </c>
      <c r="O424">
        <f t="shared" ca="1" si="66"/>
        <v>415</v>
      </c>
      <c r="P424">
        <f t="shared" ca="1" si="70"/>
        <v>1052</v>
      </c>
      <c r="Q424">
        <f t="shared" ca="1" si="71"/>
        <v>17</v>
      </c>
      <c r="R424">
        <f t="shared" ca="1" si="72"/>
        <v>-67</v>
      </c>
      <c r="S424">
        <f t="shared" ca="1" si="73"/>
        <v>7335</v>
      </c>
      <c r="T424">
        <f t="shared" ca="1" si="74"/>
        <v>6458</v>
      </c>
      <c r="U424">
        <f t="shared" ca="1" si="75"/>
        <v>940</v>
      </c>
      <c r="V424">
        <v>0</v>
      </c>
      <c r="W424">
        <v>0</v>
      </c>
      <c r="X424">
        <f t="shared" ca="1" si="76"/>
        <v>-227</v>
      </c>
      <c r="Y424">
        <v>0</v>
      </c>
      <c r="Z424">
        <v>0</v>
      </c>
      <c r="AA424">
        <v>0</v>
      </c>
      <c r="AB424" t="s">
        <v>65</v>
      </c>
      <c r="AC424" t="s">
        <v>230</v>
      </c>
      <c r="AD424">
        <v>1</v>
      </c>
      <c r="AE424">
        <v>52</v>
      </c>
      <c r="AF424">
        <v>2257</v>
      </c>
      <c r="AG424" t="s">
        <v>47</v>
      </c>
      <c r="AH424" t="s">
        <v>226</v>
      </c>
      <c r="AI424" t="s">
        <v>227</v>
      </c>
      <c r="AJ424" t="s">
        <v>50</v>
      </c>
      <c r="AK424" t="s">
        <v>51</v>
      </c>
      <c r="AL424">
        <v>3.6726999999999999</v>
      </c>
      <c r="AM424" t="s">
        <v>52</v>
      </c>
      <c r="AN424" t="s">
        <v>246</v>
      </c>
      <c r="AO424" t="s">
        <v>229</v>
      </c>
      <c r="AP424" t="s">
        <v>247</v>
      </c>
      <c r="AQ424" t="s">
        <v>55</v>
      </c>
    </row>
    <row r="425" spans="1:43" x14ac:dyDescent="0.3">
      <c r="A425" t="s">
        <v>43</v>
      </c>
      <c r="B425">
        <v>1999</v>
      </c>
      <c r="C425">
        <v>535</v>
      </c>
      <c r="D425">
        <v>5231</v>
      </c>
      <c r="E425">
        <v>7</v>
      </c>
      <c r="F425">
        <v>202305</v>
      </c>
      <c r="G425">
        <v>200018</v>
      </c>
      <c r="H425" t="s">
        <v>97</v>
      </c>
      <c r="I425" t="s">
        <v>45</v>
      </c>
      <c r="J425">
        <v>7</v>
      </c>
      <c r="K425">
        <f t="shared" ca="1" si="67"/>
        <v>7</v>
      </c>
      <c r="L425">
        <f t="shared" ca="1" si="68"/>
        <v>8</v>
      </c>
      <c r="M425">
        <f t="shared" ca="1" si="69"/>
        <v>21</v>
      </c>
      <c r="N425">
        <f t="shared" ca="1" si="69"/>
        <v>341</v>
      </c>
      <c r="O425">
        <f t="shared" ca="1" si="66"/>
        <v>96</v>
      </c>
      <c r="P425">
        <f t="shared" ca="1" si="70"/>
        <v>634</v>
      </c>
      <c r="Q425">
        <f t="shared" ca="1" si="71"/>
        <v>766</v>
      </c>
      <c r="R425">
        <f t="shared" ca="1" si="72"/>
        <v>362</v>
      </c>
      <c r="S425">
        <f t="shared" ca="1" si="73"/>
        <v>5131</v>
      </c>
      <c r="T425">
        <f t="shared" ca="1" si="74"/>
        <v>3165</v>
      </c>
      <c r="U425">
        <f t="shared" ca="1" si="75"/>
        <v>362</v>
      </c>
      <c r="V425">
        <v>0</v>
      </c>
      <c r="W425">
        <v>0</v>
      </c>
      <c r="X425">
        <f t="shared" ca="1" si="76"/>
        <v>-440</v>
      </c>
      <c r="Y425">
        <v>0</v>
      </c>
      <c r="Z425">
        <v>0</v>
      </c>
      <c r="AA425">
        <v>0</v>
      </c>
      <c r="AB425" t="s">
        <v>61</v>
      </c>
      <c r="AC425" t="s">
        <v>98</v>
      </c>
      <c r="AD425">
        <v>1</v>
      </c>
      <c r="AE425">
        <v>52</v>
      </c>
      <c r="AF425">
        <v>2257</v>
      </c>
      <c r="AG425" t="s">
        <v>47</v>
      </c>
      <c r="AH425" t="s">
        <v>226</v>
      </c>
      <c r="AI425" t="s">
        <v>227</v>
      </c>
      <c r="AJ425" t="s">
        <v>50</v>
      </c>
      <c r="AK425" t="s">
        <v>51</v>
      </c>
      <c r="AL425">
        <v>3.6726999999999999</v>
      </c>
      <c r="AM425" t="s">
        <v>52</v>
      </c>
      <c r="AN425" t="s">
        <v>246</v>
      </c>
      <c r="AO425" t="s">
        <v>45</v>
      </c>
      <c r="AP425" t="s">
        <v>247</v>
      </c>
      <c r="AQ425" t="s">
        <v>55</v>
      </c>
    </row>
    <row r="426" spans="1:43" x14ac:dyDescent="0.3">
      <c r="A426" t="s">
        <v>43</v>
      </c>
      <c r="B426">
        <v>1999</v>
      </c>
      <c r="C426">
        <v>535</v>
      </c>
      <c r="D426">
        <v>5231</v>
      </c>
      <c r="E426">
        <v>7</v>
      </c>
      <c r="F426">
        <v>202305</v>
      </c>
      <c r="G426">
        <v>1100125</v>
      </c>
      <c r="H426" t="s">
        <v>97</v>
      </c>
      <c r="I426" t="s">
        <v>45</v>
      </c>
      <c r="J426">
        <v>7</v>
      </c>
      <c r="K426">
        <f t="shared" ca="1" si="67"/>
        <v>11</v>
      </c>
      <c r="L426">
        <f t="shared" ca="1" si="68"/>
        <v>90</v>
      </c>
      <c r="M426">
        <f t="shared" ca="1" si="69"/>
        <v>242</v>
      </c>
      <c r="N426">
        <f t="shared" ca="1" si="69"/>
        <v>-27</v>
      </c>
      <c r="O426">
        <f t="shared" ca="1" si="66"/>
        <v>95</v>
      </c>
      <c r="P426">
        <f t="shared" ca="1" si="70"/>
        <v>657</v>
      </c>
      <c r="Q426">
        <f t="shared" ca="1" si="71"/>
        <v>923</v>
      </c>
      <c r="R426">
        <f t="shared" ca="1" si="72"/>
        <v>-25</v>
      </c>
      <c r="S426">
        <f t="shared" ca="1" si="73"/>
        <v>13917</v>
      </c>
      <c r="T426">
        <f t="shared" ca="1" si="74"/>
        <v>5965</v>
      </c>
      <c r="U426">
        <f t="shared" ca="1" si="75"/>
        <v>812</v>
      </c>
      <c r="V426">
        <v>0</v>
      </c>
      <c r="W426">
        <v>0</v>
      </c>
      <c r="X426">
        <f t="shared" ca="1" si="76"/>
        <v>-9</v>
      </c>
      <c r="Y426">
        <v>0</v>
      </c>
      <c r="Z426">
        <v>0</v>
      </c>
      <c r="AA426">
        <v>0</v>
      </c>
      <c r="AB426" t="s">
        <v>65</v>
      </c>
      <c r="AC426" t="s">
        <v>99</v>
      </c>
      <c r="AD426">
        <v>1</v>
      </c>
      <c r="AE426">
        <v>52</v>
      </c>
      <c r="AF426">
        <v>2257</v>
      </c>
      <c r="AG426" t="s">
        <v>47</v>
      </c>
      <c r="AH426" t="s">
        <v>226</v>
      </c>
      <c r="AI426" t="s">
        <v>227</v>
      </c>
      <c r="AJ426" t="s">
        <v>50</v>
      </c>
      <c r="AK426" t="s">
        <v>51</v>
      </c>
      <c r="AL426">
        <v>3.6726999999999999</v>
      </c>
      <c r="AM426" t="s">
        <v>52</v>
      </c>
      <c r="AN426" t="s">
        <v>246</v>
      </c>
      <c r="AO426" t="s">
        <v>45</v>
      </c>
      <c r="AP426" t="s">
        <v>247</v>
      </c>
      <c r="AQ426" t="s">
        <v>55</v>
      </c>
    </row>
    <row r="427" spans="1:43" x14ac:dyDescent="0.3">
      <c r="A427" t="s">
        <v>43</v>
      </c>
      <c r="B427">
        <v>1999</v>
      </c>
      <c r="C427">
        <v>535</v>
      </c>
      <c r="D427">
        <v>5231</v>
      </c>
      <c r="E427">
        <v>7</v>
      </c>
      <c r="F427">
        <v>202305</v>
      </c>
      <c r="G427">
        <v>3100302</v>
      </c>
      <c r="H427" t="s">
        <v>97</v>
      </c>
      <c r="I427" t="s">
        <v>45</v>
      </c>
      <c r="J427">
        <v>7</v>
      </c>
      <c r="K427">
        <f t="shared" ca="1" si="67"/>
        <v>70</v>
      </c>
      <c r="L427">
        <f t="shared" ca="1" si="68"/>
        <v>-91</v>
      </c>
      <c r="M427">
        <f t="shared" ca="1" si="69"/>
        <v>21</v>
      </c>
      <c r="N427">
        <f t="shared" ca="1" si="69"/>
        <v>416</v>
      </c>
      <c r="O427">
        <f t="shared" ca="1" si="66"/>
        <v>623</v>
      </c>
      <c r="P427">
        <f t="shared" ca="1" si="70"/>
        <v>344</v>
      </c>
      <c r="Q427">
        <f t="shared" ca="1" si="71"/>
        <v>770</v>
      </c>
      <c r="R427">
        <f t="shared" ca="1" si="72"/>
        <v>127</v>
      </c>
      <c r="S427">
        <f t="shared" ca="1" si="73"/>
        <v>2358</v>
      </c>
      <c r="T427">
        <f t="shared" ca="1" si="74"/>
        <v>1411</v>
      </c>
      <c r="U427">
        <f t="shared" ca="1" si="75"/>
        <v>1015</v>
      </c>
      <c r="V427">
        <v>0</v>
      </c>
      <c r="W427">
        <v>0</v>
      </c>
      <c r="X427">
        <f t="shared" ca="1" si="76"/>
        <v>-96</v>
      </c>
      <c r="Y427">
        <v>0</v>
      </c>
      <c r="Z427">
        <v>0</v>
      </c>
      <c r="AA427">
        <v>0</v>
      </c>
      <c r="AB427" t="s">
        <v>80</v>
      </c>
      <c r="AC427" t="s">
        <v>82</v>
      </c>
      <c r="AD427">
        <v>1</v>
      </c>
      <c r="AE427">
        <v>52</v>
      </c>
      <c r="AF427">
        <v>2257</v>
      </c>
      <c r="AG427" t="s">
        <v>47</v>
      </c>
      <c r="AH427" t="s">
        <v>226</v>
      </c>
      <c r="AI427" t="s">
        <v>227</v>
      </c>
      <c r="AJ427" t="s">
        <v>50</v>
      </c>
      <c r="AK427" t="s">
        <v>51</v>
      </c>
      <c r="AL427">
        <v>3.6726999999999999</v>
      </c>
      <c r="AM427" t="s">
        <v>52</v>
      </c>
      <c r="AN427" t="s">
        <v>246</v>
      </c>
      <c r="AO427" t="s">
        <v>45</v>
      </c>
      <c r="AP427" t="s">
        <v>247</v>
      </c>
      <c r="AQ427" t="s">
        <v>55</v>
      </c>
    </row>
    <row r="428" spans="1:43" x14ac:dyDescent="0.3">
      <c r="A428" t="s">
        <v>43</v>
      </c>
      <c r="B428">
        <v>1999</v>
      </c>
      <c r="C428">
        <v>535</v>
      </c>
      <c r="D428">
        <v>5231</v>
      </c>
      <c r="E428">
        <v>7</v>
      </c>
      <c r="F428">
        <v>202305</v>
      </c>
      <c r="G428">
        <v>3100303</v>
      </c>
      <c r="H428" t="s">
        <v>97</v>
      </c>
      <c r="I428" t="s">
        <v>45</v>
      </c>
      <c r="J428">
        <v>7</v>
      </c>
      <c r="K428">
        <f t="shared" ca="1" si="67"/>
        <v>73</v>
      </c>
      <c r="L428">
        <f t="shared" ca="1" si="68"/>
        <v>-12</v>
      </c>
      <c r="M428">
        <f t="shared" ca="1" si="69"/>
        <v>247</v>
      </c>
      <c r="N428">
        <f t="shared" ca="1" si="69"/>
        <v>-64</v>
      </c>
      <c r="O428">
        <f t="shared" ca="1" si="66"/>
        <v>259</v>
      </c>
      <c r="P428">
        <f t="shared" ca="1" si="70"/>
        <v>1343</v>
      </c>
      <c r="Q428">
        <f t="shared" ca="1" si="71"/>
        <v>953</v>
      </c>
      <c r="R428">
        <f t="shared" ca="1" si="72"/>
        <v>259</v>
      </c>
      <c r="S428">
        <f t="shared" ca="1" si="73"/>
        <v>3896</v>
      </c>
      <c r="T428">
        <f t="shared" ca="1" si="74"/>
        <v>2368</v>
      </c>
      <c r="U428">
        <f t="shared" ca="1" si="75"/>
        <v>511</v>
      </c>
      <c r="V428">
        <v>0</v>
      </c>
      <c r="W428">
        <v>0</v>
      </c>
      <c r="X428">
        <f t="shared" ca="1" si="76"/>
        <v>-117</v>
      </c>
      <c r="Y428">
        <v>0</v>
      </c>
      <c r="Z428">
        <v>0</v>
      </c>
      <c r="AA428">
        <v>0</v>
      </c>
      <c r="AB428" t="s">
        <v>80</v>
      </c>
      <c r="AC428" t="s">
        <v>83</v>
      </c>
      <c r="AD428">
        <v>1</v>
      </c>
      <c r="AE428">
        <v>52</v>
      </c>
      <c r="AF428">
        <v>2257</v>
      </c>
      <c r="AG428" t="s">
        <v>47</v>
      </c>
      <c r="AH428" t="s">
        <v>226</v>
      </c>
      <c r="AI428" t="s">
        <v>227</v>
      </c>
      <c r="AJ428" t="s">
        <v>50</v>
      </c>
      <c r="AK428" t="s">
        <v>51</v>
      </c>
      <c r="AL428">
        <v>3.6726999999999999</v>
      </c>
      <c r="AM428" t="s">
        <v>52</v>
      </c>
      <c r="AN428" t="s">
        <v>246</v>
      </c>
      <c r="AO428" t="s">
        <v>45</v>
      </c>
      <c r="AP428" t="s">
        <v>247</v>
      </c>
      <c r="AQ428" t="s">
        <v>55</v>
      </c>
    </row>
    <row r="429" spans="1:43" x14ac:dyDescent="0.3">
      <c r="A429" t="s">
        <v>43</v>
      </c>
      <c r="B429">
        <v>1999</v>
      </c>
      <c r="C429">
        <v>535</v>
      </c>
      <c r="D429">
        <v>5231</v>
      </c>
      <c r="E429">
        <v>7</v>
      </c>
      <c r="F429">
        <v>202305</v>
      </c>
      <c r="G429">
        <v>3100410</v>
      </c>
      <c r="H429" t="s">
        <v>97</v>
      </c>
      <c r="I429" t="s">
        <v>45</v>
      </c>
      <c r="J429">
        <v>7</v>
      </c>
      <c r="K429">
        <f t="shared" ca="1" si="67"/>
        <v>56</v>
      </c>
      <c r="L429">
        <f t="shared" ca="1" si="68"/>
        <v>84</v>
      </c>
      <c r="M429">
        <f t="shared" ca="1" si="69"/>
        <v>390</v>
      </c>
      <c r="N429">
        <f t="shared" ca="1" si="69"/>
        <v>480</v>
      </c>
      <c r="O429">
        <f t="shared" ca="1" si="66"/>
        <v>886</v>
      </c>
      <c r="P429">
        <f t="shared" ca="1" si="70"/>
        <v>157</v>
      </c>
      <c r="Q429">
        <f t="shared" ca="1" si="71"/>
        <v>802</v>
      </c>
      <c r="R429">
        <f t="shared" ca="1" si="72"/>
        <v>110</v>
      </c>
      <c r="S429">
        <f t="shared" ca="1" si="73"/>
        <v>11689</v>
      </c>
      <c r="T429">
        <f t="shared" ca="1" si="74"/>
        <v>5287</v>
      </c>
      <c r="U429">
        <f t="shared" ca="1" si="75"/>
        <v>419</v>
      </c>
      <c r="V429">
        <v>0</v>
      </c>
      <c r="W429">
        <v>0</v>
      </c>
      <c r="X429">
        <f t="shared" ca="1" si="76"/>
        <v>-471</v>
      </c>
      <c r="Y429">
        <v>0</v>
      </c>
      <c r="Z429">
        <v>0</v>
      </c>
      <c r="AA429">
        <v>0</v>
      </c>
      <c r="AB429" t="s">
        <v>80</v>
      </c>
      <c r="AC429" t="s">
        <v>100</v>
      </c>
      <c r="AD429">
        <v>1</v>
      </c>
      <c r="AE429">
        <v>52</v>
      </c>
      <c r="AF429">
        <v>2257</v>
      </c>
      <c r="AG429" t="s">
        <v>47</v>
      </c>
      <c r="AH429" t="s">
        <v>226</v>
      </c>
      <c r="AI429" t="s">
        <v>227</v>
      </c>
      <c r="AJ429" t="s">
        <v>50</v>
      </c>
      <c r="AK429" t="s">
        <v>51</v>
      </c>
      <c r="AL429">
        <v>3.6726999999999999</v>
      </c>
      <c r="AM429" t="s">
        <v>52</v>
      </c>
      <c r="AN429" t="s">
        <v>246</v>
      </c>
      <c r="AO429" t="s">
        <v>45</v>
      </c>
      <c r="AP429" t="s">
        <v>247</v>
      </c>
      <c r="AQ429" t="s">
        <v>55</v>
      </c>
    </row>
    <row r="430" spans="1:43" x14ac:dyDescent="0.3">
      <c r="A430" t="s">
        <v>43</v>
      </c>
      <c r="B430">
        <v>1999</v>
      </c>
      <c r="C430">
        <v>535</v>
      </c>
      <c r="D430">
        <v>5231</v>
      </c>
      <c r="E430">
        <v>7</v>
      </c>
      <c r="F430">
        <v>202305</v>
      </c>
      <c r="G430">
        <v>3100411</v>
      </c>
      <c r="H430" t="s">
        <v>97</v>
      </c>
      <c r="I430" t="s">
        <v>45</v>
      </c>
      <c r="J430">
        <v>7</v>
      </c>
      <c r="K430">
        <f t="shared" ca="1" si="67"/>
        <v>60</v>
      </c>
      <c r="L430">
        <f t="shared" ca="1" si="68"/>
        <v>63</v>
      </c>
      <c r="M430">
        <f t="shared" ca="1" si="69"/>
        <v>205</v>
      </c>
      <c r="N430">
        <f t="shared" ca="1" si="69"/>
        <v>424</v>
      </c>
      <c r="O430">
        <f t="shared" ca="1" si="66"/>
        <v>713</v>
      </c>
      <c r="P430">
        <f t="shared" ca="1" si="70"/>
        <v>534</v>
      </c>
      <c r="Q430">
        <f t="shared" ca="1" si="71"/>
        <v>532</v>
      </c>
      <c r="R430">
        <f t="shared" ca="1" si="72"/>
        <v>30</v>
      </c>
      <c r="S430">
        <f t="shared" ca="1" si="73"/>
        <v>11540</v>
      </c>
      <c r="T430">
        <f t="shared" ca="1" si="74"/>
        <v>5263</v>
      </c>
      <c r="U430">
        <f t="shared" ca="1" si="75"/>
        <v>-99</v>
      </c>
      <c r="V430">
        <v>0</v>
      </c>
      <c r="W430">
        <v>0</v>
      </c>
      <c r="X430">
        <f t="shared" ca="1" si="76"/>
        <v>-218</v>
      </c>
      <c r="Y430">
        <v>0</v>
      </c>
      <c r="Z430">
        <v>0</v>
      </c>
      <c r="AA430">
        <v>0</v>
      </c>
      <c r="AB430" t="s">
        <v>80</v>
      </c>
      <c r="AC430" t="s">
        <v>101</v>
      </c>
      <c r="AD430">
        <v>1</v>
      </c>
      <c r="AE430">
        <v>52</v>
      </c>
      <c r="AF430">
        <v>2257</v>
      </c>
      <c r="AG430" t="s">
        <v>47</v>
      </c>
      <c r="AH430" t="s">
        <v>226</v>
      </c>
      <c r="AI430" t="s">
        <v>227</v>
      </c>
      <c r="AJ430" t="s">
        <v>50</v>
      </c>
      <c r="AK430" t="s">
        <v>51</v>
      </c>
      <c r="AL430">
        <v>3.6726999999999999</v>
      </c>
      <c r="AM430" t="s">
        <v>52</v>
      </c>
      <c r="AN430" t="s">
        <v>246</v>
      </c>
      <c r="AO430" t="s">
        <v>45</v>
      </c>
      <c r="AP430" t="s">
        <v>247</v>
      </c>
      <c r="AQ430" t="s">
        <v>55</v>
      </c>
    </row>
    <row r="431" spans="1:43" x14ac:dyDescent="0.3">
      <c r="A431" t="s">
        <v>43</v>
      </c>
      <c r="B431">
        <v>1999</v>
      </c>
      <c r="C431">
        <v>535</v>
      </c>
      <c r="D431">
        <v>5231</v>
      </c>
      <c r="E431">
        <v>8</v>
      </c>
      <c r="F431">
        <v>202305</v>
      </c>
      <c r="G431">
        <v>1</v>
      </c>
      <c r="H431" t="s">
        <v>102</v>
      </c>
      <c r="I431" t="s">
        <v>45</v>
      </c>
      <c r="J431">
        <v>2</v>
      </c>
      <c r="K431">
        <f t="shared" ca="1" si="67"/>
        <v>87</v>
      </c>
      <c r="L431">
        <f t="shared" ca="1" si="68"/>
        <v>-15</v>
      </c>
      <c r="M431">
        <f t="shared" ca="1" si="69"/>
        <v>462</v>
      </c>
      <c r="N431">
        <f t="shared" ca="1" si="69"/>
        <v>376</v>
      </c>
      <c r="O431">
        <f t="shared" ca="1" si="66"/>
        <v>942</v>
      </c>
      <c r="P431">
        <f t="shared" ca="1" si="70"/>
        <v>1251</v>
      </c>
      <c r="Q431">
        <f t="shared" ca="1" si="71"/>
        <v>308</v>
      </c>
      <c r="R431">
        <f t="shared" ca="1" si="72"/>
        <v>56</v>
      </c>
      <c r="S431">
        <f t="shared" ca="1" si="73"/>
        <v>10565</v>
      </c>
      <c r="T431">
        <f t="shared" ca="1" si="74"/>
        <v>4023</v>
      </c>
      <c r="U431">
        <f t="shared" ca="1" si="75"/>
        <v>96</v>
      </c>
      <c r="V431">
        <v>0</v>
      </c>
      <c r="W431">
        <v>0</v>
      </c>
      <c r="X431">
        <f t="shared" ca="1" si="76"/>
        <v>-243</v>
      </c>
      <c r="Y431">
        <v>0</v>
      </c>
      <c r="Z431">
        <v>0</v>
      </c>
      <c r="AA431">
        <v>0</v>
      </c>
      <c r="AB431" t="s">
        <v>57</v>
      </c>
      <c r="AD431">
        <v>1</v>
      </c>
      <c r="AE431">
        <v>52</v>
      </c>
      <c r="AF431">
        <v>2257</v>
      </c>
      <c r="AG431" t="s">
        <v>47</v>
      </c>
      <c r="AH431" t="s">
        <v>226</v>
      </c>
      <c r="AI431" t="s">
        <v>227</v>
      </c>
      <c r="AJ431" t="s">
        <v>50</v>
      </c>
      <c r="AK431" t="s">
        <v>51</v>
      </c>
      <c r="AL431">
        <v>3.6726999999999999</v>
      </c>
      <c r="AM431" t="s">
        <v>52</v>
      </c>
      <c r="AN431" t="s">
        <v>246</v>
      </c>
      <c r="AO431" t="s">
        <v>103</v>
      </c>
      <c r="AP431" t="s">
        <v>247</v>
      </c>
      <c r="AQ431" t="s">
        <v>55</v>
      </c>
    </row>
    <row r="432" spans="1:43" x14ac:dyDescent="0.3">
      <c r="A432" t="s">
        <v>43</v>
      </c>
      <c r="B432">
        <v>1999</v>
      </c>
      <c r="C432">
        <v>535</v>
      </c>
      <c r="D432">
        <v>5231</v>
      </c>
      <c r="E432">
        <v>8</v>
      </c>
      <c r="F432">
        <v>202305</v>
      </c>
      <c r="G432">
        <v>2</v>
      </c>
      <c r="H432" t="s">
        <v>102</v>
      </c>
      <c r="I432" t="s">
        <v>45</v>
      </c>
      <c r="J432">
        <v>2</v>
      </c>
      <c r="K432">
        <f t="shared" ca="1" si="67"/>
        <v>53</v>
      </c>
      <c r="L432">
        <f t="shared" ca="1" si="68"/>
        <v>13</v>
      </c>
      <c r="M432">
        <f t="shared" ca="1" si="69"/>
        <v>-63</v>
      </c>
      <c r="N432">
        <f t="shared" ca="1" si="69"/>
        <v>413</v>
      </c>
      <c r="O432">
        <f t="shared" ca="1" si="66"/>
        <v>506</v>
      </c>
      <c r="P432">
        <f t="shared" ca="1" si="70"/>
        <v>1462</v>
      </c>
      <c r="Q432">
        <f t="shared" ca="1" si="71"/>
        <v>371</v>
      </c>
      <c r="R432">
        <f t="shared" ca="1" si="72"/>
        <v>373</v>
      </c>
      <c r="S432">
        <f t="shared" ca="1" si="73"/>
        <v>9806</v>
      </c>
      <c r="T432">
        <f t="shared" ca="1" si="74"/>
        <v>9467</v>
      </c>
      <c r="U432">
        <f t="shared" ca="1" si="75"/>
        <v>1017</v>
      </c>
      <c r="V432">
        <v>0</v>
      </c>
      <c r="W432">
        <v>0</v>
      </c>
      <c r="X432">
        <f t="shared" ca="1" si="76"/>
        <v>-65</v>
      </c>
      <c r="Y432">
        <v>0</v>
      </c>
      <c r="Z432">
        <v>0</v>
      </c>
      <c r="AA432">
        <v>0</v>
      </c>
      <c r="AB432" t="s">
        <v>61</v>
      </c>
      <c r="AD432">
        <v>1</v>
      </c>
      <c r="AE432">
        <v>52</v>
      </c>
      <c r="AF432">
        <v>2257</v>
      </c>
      <c r="AG432" t="s">
        <v>47</v>
      </c>
      <c r="AH432" t="s">
        <v>226</v>
      </c>
      <c r="AI432" t="s">
        <v>227</v>
      </c>
      <c r="AJ432" t="s">
        <v>50</v>
      </c>
      <c r="AK432" t="s">
        <v>51</v>
      </c>
      <c r="AL432">
        <v>3.6726999999999999</v>
      </c>
      <c r="AM432" t="s">
        <v>52</v>
      </c>
      <c r="AN432" t="s">
        <v>246</v>
      </c>
      <c r="AO432" t="s">
        <v>103</v>
      </c>
      <c r="AP432" t="s">
        <v>247</v>
      </c>
      <c r="AQ432" t="s">
        <v>55</v>
      </c>
    </row>
    <row r="433" spans="1:43" x14ac:dyDescent="0.3">
      <c r="A433" t="s">
        <v>43</v>
      </c>
      <c r="B433">
        <v>1999</v>
      </c>
      <c r="C433">
        <v>535</v>
      </c>
      <c r="D433">
        <v>5231</v>
      </c>
      <c r="E433">
        <v>8</v>
      </c>
      <c r="F433">
        <v>202305</v>
      </c>
      <c r="G433">
        <v>3</v>
      </c>
      <c r="H433" t="s">
        <v>102</v>
      </c>
      <c r="I433" t="s">
        <v>45</v>
      </c>
      <c r="J433">
        <v>2</v>
      </c>
      <c r="K433">
        <f t="shared" ca="1" si="67"/>
        <v>43</v>
      </c>
      <c r="L433">
        <f t="shared" ca="1" si="68"/>
        <v>-64</v>
      </c>
      <c r="M433">
        <f t="shared" ca="1" si="69"/>
        <v>0</v>
      </c>
      <c r="N433">
        <f t="shared" ca="1" si="69"/>
        <v>370</v>
      </c>
      <c r="O433">
        <f t="shared" ca="1" si="66"/>
        <v>508</v>
      </c>
      <c r="P433">
        <f t="shared" ca="1" si="70"/>
        <v>-63</v>
      </c>
      <c r="Q433">
        <f t="shared" ca="1" si="71"/>
        <v>43</v>
      </c>
      <c r="R433">
        <f t="shared" ca="1" si="72"/>
        <v>208</v>
      </c>
      <c r="S433">
        <f t="shared" ca="1" si="73"/>
        <v>14051</v>
      </c>
      <c r="T433">
        <f t="shared" ca="1" si="74"/>
        <v>5836</v>
      </c>
      <c r="U433">
        <f t="shared" ca="1" si="75"/>
        <v>1055</v>
      </c>
      <c r="V433">
        <v>0</v>
      </c>
      <c r="W433">
        <v>0</v>
      </c>
      <c r="X433">
        <f t="shared" ca="1" si="76"/>
        <v>11</v>
      </c>
      <c r="Y433">
        <v>0</v>
      </c>
      <c r="Z433">
        <v>0</v>
      </c>
      <c r="AA433">
        <v>0</v>
      </c>
      <c r="AB433" t="s">
        <v>62</v>
      </c>
      <c r="AD433">
        <v>1</v>
      </c>
      <c r="AE433">
        <v>52</v>
      </c>
      <c r="AF433">
        <v>2257</v>
      </c>
      <c r="AG433" t="s">
        <v>47</v>
      </c>
      <c r="AH433" t="s">
        <v>226</v>
      </c>
      <c r="AI433" t="s">
        <v>227</v>
      </c>
      <c r="AJ433" t="s">
        <v>50</v>
      </c>
      <c r="AK433" t="s">
        <v>51</v>
      </c>
      <c r="AL433">
        <v>3.6726999999999999</v>
      </c>
      <c r="AM433" t="s">
        <v>52</v>
      </c>
      <c r="AN433" t="s">
        <v>246</v>
      </c>
      <c r="AO433" t="s">
        <v>103</v>
      </c>
      <c r="AP433" t="s">
        <v>247</v>
      </c>
      <c r="AQ433" t="s">
        <v>55</v>
      </c>
    </row>
    <row r="434" spans="1:43" x14ac:dyDescent="0.3">
      <c r="A434" t="s">
        <v>43</v>
      </c>
      <c r="B434">
        <v>1999</v>
      </c>
      <c r="C434">
        <v>535</v>
      </c>
      <c r="D434">
        <v>5231</v>
      </c>
      <c r="E434">
        <v>8</v>
      </c>
      <c r="F434">
        <v>202305</v>
      </c>
      <c r="G434">
        <v>4</v>
      </c>
      <c r="H434" t="s">
        <v>102</v>
      </c>
      <c r="I434" t="s">
        <v>45</v>
      </c>
      <c r="J434">
        <v>2</v>
      </c>
      <c r="K434">
        <f t="shared" ca="1" si="67"/>
        <v>42</v>
      </c>
      <c r="L434">
        <f t="shared" ca="1" si="68"/>
        <v>-88</v>
      </c>
      <c r="M434">
        <f t="shared" ca="1" si="69"/>
        <v>-51</v>
      </c>
      <c r="N434">
        <f t="shared" ca="1" si="69"/>
        <v>363</v>
      </c>
      <c r="O434">
        <f t="shared" ca="1" si="66"/>
        <v>851</v>
      </c>
      <c r="P434">
        <f t="shared" ca="1" si="70"/>
        <v>1116</v>
      </c>
      <c r="Q434">
        <f t="shared" ca="1" si="71"/>
        <v>342</v>
      </c>
      <c r="R434">
        <f t="shared" ca="1" si="72"/>
        <v>386</v>
      </c>
      <c r="S434">
        <f t="shared" ca="1" si="73"/>
        <v>11061</v>
      </c>
      <c r="T434">
        <f t="shared" ca="1" si="74"/>
        <v>5564</v>
      </c>
      <c r="U434">
        <f t="shared" ca="1" si="75"/>
        <v>618</v>
      </c>
      <c r="V434">
        <v>0</v>
      </c>
      <c r="W434">
        <v>0</v>
      </c>
      <c r="X434">
        <f t="shared" ca="1" si="76"/>
        <v>62</v>
      </c>
      <c r="Y434">
        <v>0</v>
      </c>
      <c r="Z434">
        <v>0</v>
      </c>
      <c r="AA434">
        <v>0</v>
      </c>
      <c r="AB434" t="s">
        <v>63</v>
      </c>
      <c r="AD434">
        <v>1</v>
      </c>
      <c r="AE434">
        <v>52</v>
      </c>
      <c r="AF434">
        <v>2257</v>
      </c>
      <c r="AG434" t="s">
        <v>47</v>
      </c>
      <c r="AH434" t="s">
        <v>226</v>
      </c>
      <c r="AI434" t="s">
        <v>227</v>
      </c>
      <c r="AJ434" t="s">
        <v>50</v>
      </c>
      <c r="AK434" t="s">
        <v>51</v>
      </c>
      <c r="AL434">
        <v>3.6726999999999999</v>
      </c>
      <c r="AM434" t="s">
        <v>52</v>
      </c>
      <c r="AN434" t="s">
        <v>246</v>
      </c>
      <c r="AO434" t="s">
        <v>103</v>
      </c>
      <c r="AP434" t="s">
        <v>247</v>
      </c>
      <c r="AQ434" t="s">
        <v>55</v>
      </c>
    </row>
    <row r="435" spans="1:43" x14ac:dyDescent="0.3">
      <c r="A435" t="s">
        <v>43</v>
      </c>
      <c r="B435">
        <v>1999</v>
      </c>
      <c r="C435">
        <v>535</v>
      </c>
      <c r="D435">
        <v>5231</v>
      </c>
      <c r="E435">
        <v>10</v>
      </c>
      <c r="F435">
        <v>202305</v>
      </c>
      <c r="G435">
        <v>1100106</v>
      </c>
      <c r="H435" t="s">
        <v>160</v>
      </c>
      <c r="I435" t="s">
        <v>45</v>
      </c>
      <c r="J435">
        <v>7</v>
      </c>
      <c r="K435">
        <f t="shared" ca="1" si="67"/>
        <v>29</v>
      </c>
      <c r="L435">
        <f t="shared" ca="1" si="68"/>
        <v>-95</v>
      </c>
      <c r="M435">
        <f t="shared" ca="1" si="69"/>
        <v>-37</v>
      </c>
      <c r="N435">
        <f t="shared" ca="1" si="69"/>
        <v>455</v>
      </c>
      <c r="O435">
        <f t="shared" ca="1" si="66"/>
        <v>630</v>
      </c>
      <c r="P435">
        <f t="shared" ca="1" si="70"/>
        <v>1349</v>
      </c>
      <c r="Q435">
        <f t="shared" ca="1" si="71"/>
        <v>108</v>
      </c>
      <c r="R435">
        <f t="shared" ca="1" si="72"/>
        <v>470</v>
      </c>
      <c r="S435">
        <f t="shared" ca="1" si="73"/>
        <v>11028</v>
      </c>
      <c r="T435">
        <f t="shared" ca="1" si="74"/>
        <v>4726</v>
      </c>
      <c r="U435">
        <f t="shared" ca="1" si="75"/>
        <v>414</v>
      </c>
      <c r="V435">
        <v>0</v>
      </c>
      <c r="W435">
        <v>0</v>
      </c>
      <c r="X435">
        <f t="shared" ca="1" si="76"/>
        <v>-287</v>
      </c>
      <c r="Y435">
        <v>0</v>
      </c>
      <c r="Z435">
        <v>0</v>
      </c>
      <c r="AA435">
        <v>0</v>
      </c>
      <c r="AB435" t="s">
        <v>65</v>
      </c>
      <c r="AC435" t="s">
        <v>168</v>
      </c>
      <c r="AD435">
        <v>1</v>
      </c>
      <c r="AE435">
        <v>52</v>
      </c>
      <c r="AF435">
        <v>2257</v>
      </c>
      <c r="AG435" t="s">
        <v>47</v>
      </c>
      <c r="AH435" t="s">
        <v>226</v>
      </c>
      <c r="AI435" t="s">
        <v>227</v>
      </c>
      <c r="AJ435" t="s">
        <v>50</v>
      </c>
      <c r="AK435" t="s">
        <v>51</v>
      </c>
      <c r="AL435">
        <v>3.6726999999999999</v>
      </c>
      <c r="AM435" t="s">
        <v>52</v>
      </c>
      <c r="AN435" t="s">
        <v>246</v>
      </c>
      <c r="AO435" t="s">
        <v>163</v>
      </c>
      <c r="AP435" t="s">
        <v>247</v>
      </c>
      <c r="AQ435" t="s">
        <v>55</v>
      </c>
    </row>
    <row r="436" spans="1:43" x14ac:dyDescent="0.3">
      <c r="A436" t="s">
        <v>43</v>
      </c>
      <c r="B436">
        <v>1999</v>
      </c>
      <c r="C436">
        <v>535</v>
      </c>
      <c r="D436">
        <v>5231</v>
      </c>
      <c r="E436">
        <v>13</v>
      </c>
      <c r="F436">
        <v>202305</v>
      </c>
      <c r="G436">
        <v>100001</v>
      </c>
      <c r="H436" t="s">
        <v>231</v>
      </c>
      <c r="I436" t="s">
        <v>45</v>
      </c>
      <c r="J436">
        <v>7</v>
      </c>
      <c r="K436">
        <f t="shared" ca="1" si="67"/>
        <v>71</v>
      </c>
      <c r="L436">
        <f t="shared" ca="1" si="68"/>
        <v>7</v>
      </c>
      <c r="M436">
        <f t="shared" ca="1" si="69"/>
        <v>238</v>
      </c>
      <c r="N436">
        <f t="shared" ca="1" si="69"/>
        <v>235</v>
      </c>
      <c r="O436">
        <f t="shared" ca="1" si="66"/>
        <v>344</v>
      </c>
      <c r="P436">
        <f t="shared" ca="1" si="70"/>
        <v>-262</v>
      </c>
      <c r="Q436">
        <f t="shared" ca="1" si="71"/>
        <v>99</v>
      </c>
      <c r="R436">
        <f t="shared" ca="1" si="72"/>
        <v>189</v>
      </c>
      <c r="S436">
        <f t="shared" ca="1" si="73"/>
        <v>3677</v>
      </c>
      <c r="T436">
        <f t="shared" ca="1" si="74"/>
        <v>183</v>
      </c>
      <c r="U436">
        <f t="shared" ca="1" si="75"/>
        <v>1086</v>
      </c>
      <c r="V436">
        <v>0</v>
      </c>
      <c r="W436">
        <v>0</v>
      </c>
      <c r="X436">
        <f t="shared" ca="1" si="76"/>
        <v>-305</v>
      </c>
      <c r="Y436">
        <v>0</v>
      </c>
      <c r="Z436">
        <v>0</v>
      </c>
      <c r="AA436">
        <v>0</v>
      </c>
      <c r="AB436" t="s">
        <v>57</v>
      </c>
      <c r="AC436" t="s">
        <v>67</v>
      </c>
      <c r="AD436">
        <v>1</v>
      </c>
      <c r="AE436">
        <v>52</v>
      </c>
      <c r="AF436">
        <v>2257</v>
      </c>
      <c r="AG436" t="s">
        <v>47</v>
      </c>
      <c r="AH436" t="s">
        <v>226</v>
      </c>
      <c r="AI436" t="s">
        <v>227</v>
      </c>
      <c r="AJ436" t="s">
        <v>50</v>
      </c>
      <c r="AK436" t="s">
        <v>51</v>
      </c>
      <c r="AL436">
        <v>3.6726999999999999</v>
      </c>
      <c r="AM436" t="s">
        <v>52</v>
      </c>
      <c r="AN436" t="s">
        <v>246</v>
      </c>
      <c r="AO436" t="s">
        <v>232</v>
      </c>
      <c r="AP436" t="s">
        <v>247</v>
      </c>
      <c r="AQ436" t="s">
        <v>55</v>
      </c>
    </row>
    <row r="437" spans="1:43" x14ac:dyDescent="0.3">
      <c r="A437" t="s">
        <v>43</v>
      </c>
      <c r="B437">
        <v>1999</v>
      </c>
      <c r="C437">
        <v>535</v>
      </c>
      <c r="D437">
        <v>5231</v>
      </c>
      <c r="E437">
        <v>13</v>
      </c>
      <c r="F437">
        <v>202305</v>
      </c>
      <c r="G437">
        <v>300021</v>
      </c>
      <c r="H437" t="s">
        <v>231</v>
      </c>
      <c r="I437" t="s">
        <v>45</v>
      </c>
      <c r="J437">
        <v>7</v>
      </c>
      <c r="K437">
        <f t="shared" ca="1" si="67"/>
        <v>53</v>
      </c>
      <c r="L437">
        <f t="shared" ca="1" si="68"/>
        <v>-99</v>
      </c>
      <c r="M437">
        <f t="shared" ca="1" si="69"/>
        <v>475</v>
      </c>
      <c r="N437">
        <f t="shared" ca="1" si="69"/>
        <v>147</v>
      </c>
      <c r="O437">
        <f t="shared" ca="1" si="66"/>
        <v>622</v>
      </c>
      <c r="P437">
        <f t="shared" ca="1" si="70"/>
        <v>241</v>
      </c>
      <c r="Q437">
        <f t="shared" ca="1" si="71"/>
        <v>975</v>
      </c>
      <c r="R437">
        <f t="shared" ca="1" si="72"/>
        <v>94</v>
      </c>
      <c r="S437">
        <f t="shared" ca="1" si="73"/>
        <v>470</v>
      </c>
      <c r="T437">
        <f t="shared" ca="1" si="74"/>
        <v>396</v>
      </c>
      <c r="U437">
        <f t="shared" ca="1" si="75"/>
        <v>284</v>
      </c>
      <c r="V437">
        <v>0</v>
      </c>
      <c r="W437">
        <v>0</v>
      </c>
      <c r="X437">
        <f t="shared" ca="1" si="76"/>
        <v>-317</v>
      </c>
      <c r="Y437">
        <v>0</v>
      </c>
      <c r="Z437">
        <v>0</v>
      </c>
      <c r="AA437">
        <v>0</v>
      </c>
      <c r="AB437" t="s">
        <v>62</v>
      </c>
      <c r="AC437" t="s">
        <v>75</v>
      </c>
      <c r="AD437">
        <v>1</v>
      </c>
      <c r="AE437">
        <v>52</v>
      </c>
      <c r="AF437">
        <v>2257</v>
      </c>
      <c r="AG437" t="s">
        <v>47</v>
      </c>
      <c r="AH437" t="s">
        <v>226</v>
      </c>
      <c r="AI437" t="s">
        <v>227</v>
      </c>
      <c r="AJ437" t="s">
        <v>50</v>
      </c>
      <c r="AK437" t="s">
        <v>51</v>
      </c>
      <c r="AL437">
        <v>3.6726999999999999</v>
      </c>
      <c r="AM437" t="s">
        <v>52</v>
      </c>
      <c r="AN437" t="s">
        <v>246</v>
      </c>
      <c r="AO437" t="s">
        <v>232</v>
      </c>
      <c r="AP437" t="s">
        <v>247</v>
      </c>
      <c r="AQ437" t="s">
        <v>55</v>
      </c>
    </row>
    <row r="438" spans="1:43" x14ac:dyDescent="0.3">
      <c r="A438" t="s">
        <v>43</v>
      </c>
      <c r="B438">
        <v>1999</v>
      </c>
      <c r="C438">
        <v>535</v>
      </c>
      <c r="D438">
        <v>5231</v>
      </c>
      <c r="E438">
        <v>13</v>
      </c>
      <c r="F438">
        <v>202305</v>
      </c>
      <c r="G438">
        <v>300024</v>
      </c>
      <c r="H438" t="s">
        <v>231</v>
      </c>
      <c r="I438" t="s">
        <v>45</v>
      </c>
      <c r="J438">
        <v>7</v>
      </c>
      <c r="K438">
        <f t="shared" ca="1" si="67"/>
        <v>26</v>
      </c>
      <c r="L438">
        <f t="shared" ca="1" si="68"/>
        <v>22</v>
      </c>
      <c r="M438">
        <f t="shared" ca="1" si="69"/>
        <v>121</v>
      </c>
      <c r="N438">
        <f t="shared" ca="1" si="69"/>
        <v>28</v>
      </c>
      <c r="O438">
        <f t="shared" ca="1" si="66"/>
        <v>277</v>
      </c>
      <c r="P438">
        <f t="shared" ca="1" si="70"/>
        <v>916</v>
      </c>
      <c r="Q438">
        <f t="shared" ca="1" si="71"/>
        <v>701</v>
      </c>
      <c r="R438">
        <f t="shared" ca="1" si="72"/>
        <v>-91</v>
      </c>
      <c r="S438">
        <f t="shared" ca="1" si="73"/>
        <v>11585</v>
      </c>
      <c r="T438">
        <f t="shared" ca="1" si="74"/>
        <v>9346</v>
      </c>
      <c r="U438">
        <f t="shared" ca="1" si="75"/>
        <v>669</v>
      </c>
      <c r="V438">
        <v>0</v>
      </c>
      <c r="W438">
        <v>0</v>
      </c>
      <c r="X438">
        <f t="shared" ca="1" si="76"/>
        <v>-248</v>
      </c>
      <c r="Y438">
        <v>0</v>
      </c>
      <c r="Z438">
        <v>0</v>
      </c>
      <c r="AA438">
        <v>0</v>
      </c>
      <c r="AB438" t="s">
        <v>62</v>
      </c>
      <c r="AC438" t="s">
        <v>233</v>
      </c>
      <c r="AD438">
        <v>1</v>
      </c>
      <c r="AE438">
        <v>52</v>
      </c>
      <c r="AF438">
        <v>2257</v>
      </c>
      <c r="AG438" t="s">
        <v>47</v>
      </c>
      <c r="AH438" t="s">
        <v>226</v>
      </c>
      <c r="AI438" t="s">
        <v>227</v>
      </c>
      <c r="AJ438" t="s">
        <v>50</v>
      </c>
      <c r="AK438" t="s">
        <v>51</v>
      </c>
      <c r="AL438">
        <v>3.6726999999999999</v>
      </c>
      <c r="AM438" t="s">
        <v>52</v>
      </c>
      <c r="AN438" t="s">
        <v>246</v>
      </c>
      <c r="AO438" t="s">
        <v>232</v>
      </c>
      <c r="AP438" t="s">
        <v>247</v>
      </c>
      <c r="AQ438" t="s">
        <v>55</v>
      </c>
    </row>
    <row r="439" spans="1:43" x14ac:dyDescent="0.3">
      <c r="A439" t="s">
        <v>43</v>
      </c>
      <c r="B439">
        <v>1999</v>
      </c>
      <c r="C439">
        <v>535</v>
      </c>
      <c r="D439">
        <v>5231</v>
      </c>
      <c r="E439">
        <v>13</v>
      </c>
      <c r="F439">
        <v>202305</v>
      </c>
      <c r="G439">
        <v>1100104</v>
      </c>
      <c r="H439" t="s">
        <v>231</v>
      </c>
      <c r="I439" t="s">
        <v>45</v>
      </c>
      <c r="J439">
        <v>7</v>
      </c>
      <c r="K439">
        <f t="shared" ca="1" si="67"/>
        <v>33</v>
      </c>
      <c r="L439">
        <f t="shared" ca="1" si="68"/>
        <v>54</v>
      </c>
      <c r="M439">
        <f t="shared" ca="1" si="69"/>
        <v>28</v>
      </c>
      <c r="N439">
        <f t="shared" ca="1" si="69"/>
        <v>232</v>
      </c>
      <c r="O439">
        <f t="shared" ca="1" si="66"/>
        <v>136</v>
      </c>
      <c r="P439">
        <f t="shared" ca="1" si="70"/>
        <v>14</v>
      </c>
      <c r="Q439">
        <f t="shared" ca="1" si="71"/>
        <v>925</v>
      </c>
      <c r="R439">
        <f t="shared" ca="1" si="72"/>
        <v>445</v>
      </c>
      <c r="S439">
        <f t="shared" ca="1" si="73"/>
        <v>1925</v>
      </c>
      <c r="T439">
        <f t="shared" ca="1" si="74"/>
        <v>8915</v>
      </c>
      <c r="U439">
        <f t="shared" ca="1" si="75"/>
        <v>773</v>
      </c>
      <c r="V439">
        <v>0</v>
      </c>
      <c r="W439">
        <v>0</v>
      </c>
      <c r="X439">
        <f t="shared" ca="1" si="76"/>
        <v>-271</v>
      </c>
      <c r="Y439">
        <v>0</v>
      </c>
      <c r="Z439">
        <v>0</v>
      </c>
      <c r="AA439">
        <v>0</v>
      </c>
      <c r="AB439" t="s">
        <v>65</v>
      </c>
      <c r="AC439" t="s">
        <v>76</v>
      </c>
      <c r="AD439">
        <v>1</v>
      </c>
      <c r="AE439">
        <v>52</v>
      </c>
      <c r="AF439">
        <v>2257</v>
      </c>
      <c r="AG439" t="s">
        <v>47</v>
      </c>
      <c r="AH439" t="s">
        <v>226</v>
      </c>
      <c r="AI439" t="s">
        <v>227</v>
      </c>
      <c r="AJ439" t="s">
        <v>50</v>
      </c>
      <c r="AK439" t="s">
        <v>51</v>
      </c>
      <c r="AL439">
        <v>3.6726999999999999</v>
      </c>
      <c r="AM439" t="s">
        <v>52</v>
      </c>
      <c r="AN439" t="s">
        <v>246</v>
      </c>
      <c r="AO439" t="s">
        <v>232</v>
      </c>
      <c r="AP439" t="s">
        <v>247</v>
      </c>
      <c r="AQ439" t="s">
        <v>55</v>
      </c>
    </row>
    <row r="440" spans="1:43" x14ac:dyDescent="0.3">
      <c r="A440" t="s">
        <v>43</v>
      </c>
      <c r="B440">
        <v>1999</v>
      </c>
      <c r="C440">
        <v>535</v>
      </c>
      <c r="D440">
        <v>5231</v>
      </c>
      <c r="E440">
        <v>13</v>
      </c>
      <c r="F440">
        <v>202305</v>
      </c>
      <c r="G440">
        <v>3100302</v>
      </c>
      <c r="H440" t="s">
        <v>231</v>
      </c>
      <c r="I440" t="s">
        <v>45</v>
      </c>
      <c r="J440">
        <v>7</v>
      </c>
      <c r="K440">
        <f t="shared" ca="1" si="67"/>
        <v>86</v>
      </c>
      <c r="L440">
        <f t="shared" ca="1" si="68"/>
        <v>21</v>
      </c>
      <c r="M440">
        <f t="shared" ca="1" si="69"/>
        <v>234</v>
      </c>
      <c r="N440">
        <f t="shared" ca="1" si="69"/>
        <v>159</v>
      </c>
      <c r="O440">
        <f t="shared" ca="1" si="66"/>
        <v>406</v>
      </c>
      <c r="P440">
        <f t="shared" ca="1" si="70"/>
        <v>1336</v>
      </c>
      <c r="Q440">
        <f t="shared" ca="1" si="71"/>
        <v>770</v>
      </c>
      <c r="R440">
        <f t="shared" ca="1" si="72"/>
        <v>442</v>
      </c>
      <c r="S440">
        <f t="shared" ca="1" si="73"/>
        <v>3411</v>
      </c>
      <c r="T440">
        <f t="shared" ca="1" si="74"/>
        <v>6131</v>
      </c>
      <c r="U440">
        <f t="shared" ca="1" si="75"/>
        <v>110</v>
      </c>
      <c r="V440">
        <v>0</v>
      </c>
      <c r="W440">
        <v>0</v>
      </c>
      <c r="X440">
        <f t="shared" ca="1" si="76"/>
        <v>-387</v>
      </c>
      <c r="Y440">
        <v>0</v>
      </c>
      <c r="Z440">
        <v>0</v>
      </c>
      <c r="AA440">
        <v>0</v>
      </c>
      <c r="AB440" t="s">
        <v>80</v>
      </c>
      <c r="AC440" t="s">
        <v>82</v>
      </c>
      <c r="AD440">
        <v>1</v>
      </c>
      <c r="AE440">
        <v>52</v>
      </c>
      <c r="AF440">
        <v>2257</v>
      </c>
      <c r="AG440" t="s">
        <v>47</v>
      </c>
      <c r="AH440" t="s">
        <v>226</v>
      </c>
      <c r="AI440" t="s">
        <v>227</v>
      </c>
      <c r="AJ440" t="s">
        <v>50</v>
      </c>
      <c r="AK440" t="s">
        <v>51</v>
      </c>
      <c r="AL440">
        <v>3.6726999999999999</v>
      </c>
      <c r="AM440" t="s">
        <v>52</v>
      </c>
      <c r="AN440" t="s">
        <v>246</v>
      </c>
      <c r="AO440" t="s">
        <v>232</v>
      </c>
      <c r="AP440" t="s">
        <v>247</v>
      </c>
      <c r="AQ440" t="s">
        <v>55</v>
      </c>
    </row>
    <row r="441" spans="1:43" x14ac:dyDescent="0.3">
      <c r="A441" t="s">
        <v>43</v>
      </c>
      <c r="B441">
        <v>1999</v>
      </c>
      <c r="C441">
        <v>535</v>
      </c>
      <c r="D441">
        <v>5231</v>
      </c>
      <c r="E441">
        <v>15</v>
      </c>
      <c r="F441">
        <v>202305</v>
      </c>
      <c r="G441">
        <v>200019</v>
      </c>
      <c r="H441" t="s">
        <v>104</v>
      </c>
      <c r="I441" t="s">
        <v>45</v>
      </c>
      <c r="J441">
        <v>7</v>
      </c>
      <c r="K441">
        <f t="shared" ca="1" si="67"/>
        <v>81</v>
      </c>
      <c r="L441">
        <f t="shared" ca="1" si="68"/>
        <v>61</v>
      </c>
      <c r="M441">
        <f t="shared" ca="1" si="69"/>
        <v>385</v>
      </c>
      <c r="N441">
        <f t="shared" ca="1" si="69"/>
        <v>204</v>
      </c>
      <c r="O441">
        <f t="shared" ca="1" si="66"/>
        <v>262</v>
      </c>
      <c r="P441">
        <f t="shared" ca="1" si="70"/>
        <v>1255</v>
      </c>
      <c r="Q441">
        <f t="shared" ca="1" si="71"/>
        <v>621</v>
      </c>
      <c r="R441">
        <f t="shared" ca="1" si="72"/>
        <v>422</v>
      </c>
      <c r="S441">
        <f t="shared" ca="1" si="73"/>
        <v>3326</v>
      </c>
      <c r="T441">
        <f t="shared" ca="1" si="74"/>
        <v>4680</v>
      </c>
      <c r="U441">
        <f t="shared" ca="1" si="75"/>
        <v>695</v>
      </c>
      <c r="V441">
        <v>0</v>
      </c>
      <c r="W441">
        <v>0</v>
      </c>
      <c r="X441">
        <f t="shared" ca="1" si="76"/>
        <v>-435</v>
      </c>
      <c r="Y441">
        <v>0</v>
      </c>
      <c r="Z441">
        <v>0</v>
      </c>
      <c r="AA441">
        <v>0</v>
      </c>
      <c r="AB441" t="s">
        <v>61</v>
      </c>
      <c r="AC441" t="s">
        <v>105</v>
      </c>
      <c r="AD441">
        <v>1</v>
      </c>
      <c r="AE441">
        <v>52</v>
      </c>
      <c r="AF441">
        <v>2257</v>
      </c>
      <c r="AG441" t="s">
        <v>47</v>
      </c>
      <c r="AH441" t="s">
        <v>226</v>
      </c>
      <c r="AI441" t="s">
        <v>227</v>
      </c>
      <c r="AJ441" t="s">
        <v>50</v>
      </c>
      <c r="AK441" t="s">
        <v>51</v>
      </c>
      <c r="AL441">
        <v>3.6726999999999999</v>
      </c>
      <c r="AM441" t="s">
        <v>52</v>
      </c>
      <c r="AN441" t="s">
        <v>246</v>
      </c>
      <c r="AO441" t="s">
        <v>54</v>
      </c>
      <c r="AP441" t="s">
        <v>247</v>
      </c>
      <c r="AQ441" t="s">
        <v>55</v>
      </c>
    </row>
    <row r="442" spans="1:43" x14ac:dyDescent="0.3">
      <c r="A442" t="s">
        <v>43</v>
      </c>
      <c r="B442">
        <v>1999</v>
      </c>
      <c r="C442">
        <v>535</v>
      </c>
      <c r="D442">
        <v>5231</v>
      </c>
      <c r="E442">
        <v>15</v>
      </c>
      <c r="F442">
        <v>202305</v>
      </c>
      <c r="G442">
        <v>3100302</v>
      </c>
      <c r="H442" t="s">
        <v>104</v>
      </c>
      <c r="I442" t="s">
        <v>45</v>
      </c>
      <c r="J442">
        <v>7</v>
      </c>
      <c r="K442">
        <f t="shared" ca="1" si="67"/>
        <v>59</v>
      </c>
      <c r="L442">
        <f t="shared" ca="1" si="68"/>
        <v>55</v>
      </c>
      <c r="M442">
        <f t="shared" ca="1" si="69"/>
        <v>147</v>
      </c>
      <c r="N442">
        <f t="shared" ca="1" si="69"/>
        <v>130</v>
      </c>
      <c r="O442">
        <f t="shared" ca="1" si="66"/>
        <v>668</v>
      </c>
      <c r="P442">
        <f t="shared" ca="1" si="70"/>
        <v>-325</v>
      </c>
      <c r="Q442">
        <f t="shared" ca="1" si="71"/>
        <v>532</v>
      </c>
      <c r="R442">
        <f t="shared" ca="1" si="72"/>
        <v>206</v>
      </c>
      <c r="S442">
        <f t="shared" ca="1" si="73"/>
        <v>13110</v>
      </c>
      <c r="T442">
        <f t="shared" ca="1" si="74"/>
        <v>425</v>
      </c>
      <c r="U442">
        <f t="shared" ca="1" si="75"/>
        <v>70</v>
      </c>
      <c r="V442">
        <v>0</v>
      </c>
      <c r="W442">
        <v>0</v>
      </c>
      <c r="X442">
        <f t="shared" ca="1" si="76"/>
        <v>-410</v>
      </c>
      <c r="Y442">
        <v>0</v>
      </c>
      <c r="Z442">
        <v>0</v>
      </c>
      <c r="AA442">
        <v>0</v>
      </c>
      <c r="AB442" t="s">
        <v>80</v>
      </c>
      <c r="AC442" t="s">
        <v>82</v>
      </c>
      <c r="AD442">
        <v>1</v>
      </c>
      <c r="AE442">
        <v>52</v>
      </c>
      <c r="AF442">
        <v>2257</v>
      </c>
      <c r="AG442" t="s">
        <v>47</v>
      </c>
      <c r="AH442" t="s">
        <v>226</v>
      </c>
      <c r="AI442" t="s">
        <v>227</v>
      </c>
      <c r="AJ442" t="s">
        <v>50</v>
      </c>
      <c r="AK442" t="s">
        <v>51</v>
      </c>
      <c r="AL442">
        <v>3.6726999999999999</v>
      </c>
      <c r="AM442" t="s">
        <v>52</v>
      </c>
      <c r="AN442" t="s">
        <v>246</v>
      </c>
      <c r="AO442" t="s">
        <v>54</v>
      </c>
      <c r="AP442" t="s">
        <v>247</v>
      </c>
      <c r="AQ442" t="s">
        <v>55</v>
      </c>
    </row>
    <row r="443" spans="1:43" x14ac:dyDescent="0.3">
      <c r="A443" t="s">
        <v>43</v>
      </c>
      <c r="B443">
        <v>1999</v>
      </c>
      <c r="C443">
        <v>535</v>
      </c>
      <c r="D443">
        <v>5231</v>
      </c>
      <c r="E443">
        <v>15</v>
      </c>
      <c r="F443">
        <v>202305</v>
      </c>
      <c r="G443">
        <v>3100413</v>
      </c>
      <c r="H443" t="s">
        <v>104</v>
      </c>
      <c r="I443" t="s">
        <v>45</v>
      </c>
      <c r="J443">
        <v>7</v>
      </c>
      <c r="K443">
        <f t="shared" ca="1" si="67"/>
        <v>36</v>
      </c>
      <c r="L443">
        <f t="shared" ca="1" si="68"/>
        <v>87</v>
      </c>
      <c r="M443">
        <f t="shared" ca="1" si="69"/>
        <v>293</v>
      </c>
      <c r="N443">
        <f t="shared" ca="1" si="69"/>
        <v>15</v>
      </c>
      <c r="O443">
        <f t="shared" ca="1" si="66"/>
        <v>574</v>
      </c>
      <c r="P443">
        <f t="shared" ca="1" si="70"/>
        <v>850</v>
      </c>
      <c r="Q443">
        <f t="shared" ca="1" si="71"/>
        <v>57</v>
      </c>
      <c r="R443">
        <f t="shared" ca="1" si="72"/>
        <v>-29</v>
      </c>
      <c r="S443">
        <f t="shared" ca="1" si="73"/>
        <v>1170</v>
      </c>
      <c r="T443">
        <f t="shared" ca="1" si="74"/>
        <v>270</v>
      </c>
      <c r="U443">
        <f t="shared" ca="1" si="75"/>
        <v>673</v>
      </c>
      <c r="V443">
        <v>0</v>
      </c>
      <c r="W443">
        <v>0</v>
      </c>
      <c r="X443">
        <f t="shared" ca="1" si="76"/>
        <v>-131</v>
      </c>
      <c r="Y443">
        <v>0</v>
      </c>
      <c r="Z443">
        <v>0</v>
      </c>
      <c r="AA443">
        <v>0</v>
      </c>
      <c r="AB443" t="s">
        <v>80</v>
      </c>
      <c r="AC443" t="s">
        <v>108</v>
      </c>
      <c r="AD443">
        <v>1</v>
      </c>
      <c r="AE443">
        <v>52</v>
      </c>
      <c r="AF443">
        <v>2257</v>
      </c>
      <c r="AG443" t="s">
        <v>47</v>
      </c>
      <c r="AH443" t="s">
        <v>226</v>
      </c>
      <c r="AI443" t="s">
        <v>227</v>
      </c>
      <c r="AJ443" t="s">
        <v>50</v>
      </c>
      <c r="AK443" t="s">
        <v>51</v>
      </c>
      <c r="AL443">
        <v>3.6726999999999999</v>
      </c>
      <c r="AM443" t="s">
        <v>52</v>
      </c>
      <c r="AN443" t="s">
        <v>246</v>
      </c>
      <c r="AO443" t="s">
        <v>54</v>
      </c>
      <c r="AP443" t="s">
        <v>247</v>
      </c>
      <c r="AQ443" t="s">
        <v>55</v>
      </c>
    </row>
    <row r="444" spans="1:43" x14ac:dyDescent="0.3">
      <c r="A444" t="s">
        <v>43</v>
      </c>
      <c r="B444">
        <v>1999</v>
      </c>
      <c r="C444">
        <v>535</v>
      </c>
      <c r="D444">
        <v>5231</v>
      </c>
      <c r="E444">
        <v>15</v>
      </c>
      <c r="F444">
        <v>202305</v>
      </c>
      <c r="G444">
        <v>3100414</v>
      </c>
      <c r="H444" t="s">
        <v>104</v>
      </c>
      <c r="I444" t="s">
        <v>45</v>
      </c>
      <c r="J444">
        <v>7</v>
      </c>
      <c r="K444">
        <f t="shared" ca="1" si="67"/>
        <v>33</v>
      </c>
      <c r="L444">
        <f t="shared" ca="1" si="68"/>
        <v>-57</v>
      </c>
      <c r="M444">
        <f t="shared" ca="1" si="69"/>
        <v>483</v>
      </c>
      <c r="N444">
        <f t="shared" ca="1" si="69"/>
        <v>173</v>
      </c>
      <c r="O444">
        <f t="shared" ca="1" si="66"/>
        <v>553</v>
      </c>
      <c r="P444">
        <f t="shared" ca="1" si="70"/>
        <v>1496</v>
      </c>
      <c r="Q444">
        <f t="shared" ca="1" si="71"/>
        <v>72</v>
      </c>
      <c r="R444">
        <f t="shared" ca="1" si="72"/>
        <v>25</v>
      </c>
      <c r="S444">
        <f t="shared" ca="1" si="73"/>
        <v>59</v>
      </c>
      <c r="T444">
        <f t="shared" ca="1" si="74"/>
        <v>6564</v>
      </c>
      <c r="U444">
        <f t="shared" ca="1" si="75"/>
        <v>454</v>
      </c>
      <c r="V444">
        <v>0</v>
      </c>
      <c r="W444">
        <v>0</v>
      </c>
      <c r="X444">
        <f t="shared" ca="1" si="76"/>
        <v>-406</v>
      </c>
      <c r="Y444">
        <v>0</v>
      </c>
      <c r="Z444">
        <v>0</v>
      </c>
      <c r="AA444">
        <v>0</v>
      </c>
      <c r="AB444" t="s">
        <v>80</v>
      </c>
      <c r="AC444" t="s">
        <v>109</v>
      </c>
      <c r="AD444">
        <v>1</v>
      </c>
      <c r="AE444">
        <v>52</v>
      </c>
      <c r="AF444">
        <v>2257</v>
      </c>
      <c r="AG444" t="s">
        <v>47</v>
      </c>
      <c r="AH444" t="s">
        <v>226</v>
      </c>
      <c r="AI444" t="s">
        <v>227</v>
      </c>
      <c r="AJ444" t="s">
        <v>50</v>
      </c>
      <c r="AK444" t="s">
        <v>51</v>
      </c>
      <c r="AL444">
        <v>3.6726999999999999</v>
      </c>
      <c r="AM444" t="s">
        <v>52</v>
      </c>
      <c r="AN444" t="s">
        <v>246</v>
      </c>
      <c r="AO444" t="s">
        <v>54</v>
      </c>
      <c r="AP444" t="s">
        <v>247</v>
      </c>
      <c r="AQ444" t="s">
        <v>55</v>
      </c>
    </row>
    <row r="445" spans="1:43" x14ac:dyDescent="0.3">
      <c r="A445" t="s">
        <v>43</v>
      </c>
      <c r="B445">
        <v>1999</v>
      </c>
      <c r="C445">
        <v>535</v>
      </c>
      <c r="D445">
        <v>5231</v>
      </c>
      <c r="E445">
        <v>16</v>
      </c>
      <c r="F445">
        <v>202305</v>
      </c>
      <c r="G445">
        <v>3</v>
      </c>
      <c r="H445" t="s">
        <v>79</v>
      </c>
      <c r="I445" t="s">
        <v>45</v>
      </c>
      <c r="J445">
        <v>2</v>
      </c>
      <c r="K445">
        <f t="shared" ca="1" si="67"/>
        <v>64</v>
      </c>
      <c r="L445">
        <f t="shared" ca="1" si="68"/>
        <v>11</v>
      </c>
      <c r="M445">
        <f t="shared" ca="1" si="69"/>
        <v>491</v>
      </c>
      <c r="N445">
        <f t="shared" ca="1" si="69"/>
        <v>406</v>
      </c>
      <c r="O445">
        <f t="shared" ca="1" si="66"/>
        <v>848</v>
      </c>
      <c r="P445">
        <f t="shared" ca="1" si="70"/>
        <v>77</v>
      </c>
      <c r="Q445">
        <f t="shared" ca="1" si="71"/>
        <v>292</v>
      </c>
      <c r="R445">
        <f t="shared" ca="1" si="72"/>
        <v>-1</v>
      </c>
      <c r="S445">
        <f t="shared" ca="1" si="73"/>
        <v>13826</v>
      </c>
      <c r="T445">
        <f t="shared" ca="1" si="74"/>
        <v>5710</v>
      </c>
      <c r="U445">
        <f t="shared" ca="1" si="75"/>
        <v>-57</v>
      </c>
      <c r="V445">
        <v>0</v>
      </c>
      <c r="W445">
        <v>0</v>
      </c>
      <c r="X445">
        <f t="shared" ca="1" si="76"/>
        <v>-398</v>
      </c>
      <c r="Y445">
        <v>0</v>
      </c>
      <c r="Z445">
        <v>0</v>
      </c>
      <c r="AA445">
        <v>0</v>
      </c>
      <c r="AB445" t="s">
        <v>62</v>
      </c>
      <c r="AD445">
        <v>1</v>
      </c>
      <c r="AE445">
        <v>52</v>
      </c>
      <c r="AF445">
        <v>2257</v>
      </c>
      <c r="AG445" t="s">
        <v>47</v>
      </c>
      <c r="AH445" t="s">
        <v>226</v>
      </c>
      <c r="AI445" t="s">
        <v>227</v>
      </c>
      <c r="AJ445" t="s">
        <v>50</v>
      </c>
      <c r="AK445" t="s">
        <v>51</v>
      </c>
      <c r="AL445">
        <v>3.6726999999999999</v>
      </c>
      <c r="AM445" t="s">
        <v>52</v>
      </c>
      <c r="AN445" t="s">
        <v>246</v>
      </c>
      <c r="AO445" t="s">
        <v>59</v>
      </c>
      <c r="AP445" t="s">
        <v>247</v>
      </c>
      <c r="AQ445" t="s">
        <v>55</v>
      </c>
    </row>
    <row r="446" spans="1:43" x14ac:dyDescent="0.3">
      <c r="A446" t="s">
        <v>43</v>
      </c>
      <c r="B446">
        <v>1999</v>
      </c>
      <c r="C446">
        <v>535</v>
      </c>
      <c r="D446">
        <v>5231</v>
      </c>
      <c r="E446">
        <v>16</v>
      </c>
      <c r="F446">
        <v>202305</v>
      </c>
      <c r="G446">
        <v>31</v>
      </c>
      <c r="H446" t="s">
        <v>79</v>
      </c>
      <c r="I446" t="s">
        <v>45</v>
      </c>
      <c r="J446">
        <v>2</v>
      </c>
      <c r="K446">
        <f t="shared" ca="1" si="67"/>
        <v>12</v>
      </c>
      <c r="L446">
        <f t="shared" ca="1" si="68"/>
        <v>10</v>
      </c>
      <c r="M446">
        <f t="shared" ca="1" si="69"/>
        <v>474</v>
      </c>
      <c r="N446">
        <f t="shared" ca="1" si="69"/>
        <v>-39</v>
      </c>
      <c r="O446">
        <f t="shared" ca="1" si="66"/>
        <v>207</v>
      </c>
      <c r="P446">
        <f t="shared" ca="1" si="70"/>
        <v>880</v>
      </c>
      <c r="Q446">
        <f t="shared" ca="1" si="71"/>
        <v>106</v>
      </c>
      <c r="R446">
        <f t="shared" ca="1" si="72"/>
        <v>323</v>
      </c>
      <c r="S446">
        <f t="shared" ca="1" si="73"/>
        <v>9752</v>
      </c>
      <c r="T446">
        <f t="shared" ca="1" si="74"/>
        <v>4806</v>
      </c>
      <c r="U446">
        <f t="shared" ca="1" si="75"/>
        <v>-35</v>
      </c>
      <c r="V446">
        <v>0</v>
      </c>
      <c r="W446">
        <v>0</v>
      </c>
      <c r="X446">
        <f t="shared" ca="1" si="76"/>
        <v>-59</v>
      </c>
      <c r="Y446">
        <v>0</v>
      </c>
      <c r="Z446">
        <v>0</v>
      </c>
      <c r="AA446">
        <v>0</v>
      </c>
      <c r="AB446" t="s">
        <v>80</v>
      </c>
      <c r="AD446">
        <v>1</v>
      </c>
      <c r="AE446">
        <v>52</v>
      </c>
      <c r="AF446">
        <v>2257</v>
      </c>
      <c r="AG446" t="s">
        <v>47</v>
      </c>
      <c r="AH446" t="s">
        <v>226</v>
      </c>
      <c r="AI446" t="s">
        <v>227</v>
      </c>
      <c r="AJ446" t="s">
        <v>50</v>
      </c>
      <c r="AK446" t="s">
        <v>51</v>
      </c>
      <c r="AL446">
        <v>3.6726999999999999</v>
      </c>
      <c r="AM446" t="s">
        <v>52</v>
      </c>
      <c r="AN446" t="s">
        <v>246</v>
      </c>
      <c r="AO446" t="s">
        <v>59</v>
      </c>
      <c r="AP446" t="s">
        <v>247</v>
      </c>
      <c r="AQ446" t="s">
        <v>55</v>
      </c>
    </row>
    <row r="447" spans="1:43" x14ac:dyDescent="0.3">
      <c r="A447" t="s">
        <v>43</v>
      </c>
      <c r="B447">
        <v>1999</v>
      </c>
      <c r="C447">
        <v>535</v>
      </c>
      <c r="D447">
        <v>5231</v>
      </c>
      <c r="E447">
        <v>30</v>
      </c>
      <c r="F447">
        <v>202305</v>
      </c>
      <c r="G447">
        <v>3100302</v>
      </c>
      <c r="H447" t="s">
        <v>81</v>
      </c>
      <c r="I447" t="s">
        <v>45</v>
      </c>
      <c r="J447">
        <v>7</v>
      </c>
      <c r="K447">
        <f t="shared" ca="1" si="67"/>
        <v>31</v>
      </c>
      <c r="L447">
        <f t="shared" ca="1" si="68"/>
        <v>-27</v>
      </c>
      <c r="M447">
        <f t="shared" ca="1" si="69"/>
        <v>206</v>
      </c>
      <c r="N447">
        <f t="shared" ca="1" si="69"/>
        <v>19</v>
      </c>
      <c r="O447">
        <f t="shared" ca="1" si="66"/>
        <v>719</v>
      </c>
      <c r="P447">
        <f t="shared" ca="1" si="70"/>
        <v>1109</v>
      </c>
      <c r="Q447">
        <f t="shared" ca="1" si="71"/>
        <v>806</v>
      </c>
      <c r="R447">
        <f t="shared" ca="1" si="72"/>
        <v>-23</v>
      </c>
      <c r="S447">
        <f t="shared" ca="1" si="73"/>
        <v>3270</v>
      </c>
      <c r="T447">
        <f t="shared" ca="1" si="74"/>
        <v>3326</v>
      </c>
      <c r="U447">
        <f t="shared" ca="1" si="75"/>
        <v>576</v>
      </c>
      <c r="V447">
        <v>0</v>
      </c>
      <c r="W447">
        <v>0</v>
      </c>
      <c r="X447">
        <f t="shared" ca="1" si="76"/>
        <v>-355</v>
      </c>
      <c r="Y447">
        <v>0</v>
      </c>
      <c r="Z447">
        <v>0</v>
      </c>
      <c r="AA447">
        <v>0</v>
      </c>
      <c r="AB447" t="s">
        <v>80</v>
      </c>
      <c r="AC447" t="s">
        <v>82</v>
      </c>
      <c r="AD447">
        <v>1</v>
      </c>
      <c r="AE447">
        <v>52</v>
      </c>
      <c r="AF447">
        <v>2257</v>
      </c>
      <c r="AG447" t="s">
        <v>47</v>
      </c>
      <c r="AH447" t="s">
        <v>226</v>
      </c>
      <c r="AI447" t="s">
        <v>227</v>
      </c>
      <c r="AJ447" t="s">
        <v>50</v>
      </c>
      <c r="AK447" t="s">
        <v>51</v>
      </c>
      <c r="AL447">
        <v>3.6726999999999999</v>
      </c>
      <c r="AM447" t="s">
        <v>52</v>
      </c>
      <c r="AN447" t="s">
        <v>246</v>
      </c>
      <c r="AO447" t="s">
        <v>50</v>
      </c>
      <c r="AP447" t="s">
        <v>247</v>
      </c>
      <c r="AQ447" t="s">
        <v>55</v>
      </c>
    </row>
    <row r="448" spans="1:43" x14ac:dyDescent="0.3">
      <c r="A448" t="s">
        <v>43</v>
      </c>
      <c r="B448">
        <v>1999</v>
      </c>
      <c r="C448">
        <v>535</v>
      </c>
      <c r="D448">
        <v>5231</v>
      </c>
      <c r="E448">
        <v>30</v>
      </c>
      <c r="F448">
        <v>202305</v>
      </c>
      <c r="G448">
        <v>3100303</v>
      </c>
      <c r="H448" t="s">
        <v>81</v>
      </c>
      <c r="I448" t="s">
        <v>45</v>
      </c>
      <c r="J448">
        <v>7</v>
      </c>
      <c r="K448">
        <f t="shared" ca="1" si="67"/>
        <v>12</v>
      </c>
      <c r="L448">
        <f t="shared" ca="1" si="68"/>
        <v>-76</v>
      </c>
      <c r="M448">
        <f t="shared" ca="1" si="69"/>
        <v>-9</v>
      </c>
      <c r="N448">
        <f t="shared" ca="1" si="69"/>
        <v>-5</v>
      </c>
      <c r="O448">
        <f t="shared" ca="1" si="66"/>
        <v>180</v>
      </c>
      <c r="P448">
        <f t="shared" ca="1" si="70"/>
        <v>-34</v>
      </c>
      <c r="Q448">
        <f t="shared" ca="1" si="71"/>
        <v>1177</v>
      </c>
      <c r="R448">
        <f t="shared" ca="1" si="72"/>
        <v>14</v>
      </c>
      <c r="S448">
        <f t="shared" ca="1" si="73"/>
        <v>9354</v>
      </c>
      <c r="T448">
        <f t="shared" ca="1" si="74"/>
        <v>8254</v>
      </c>
      <c r="U448">
        <f t="shared" ca="1" si="75"/>
        <v>651</v>
      </c>
      <c r="V448">
        <v>0</v>
      </c>
      <c r="W448">
        <v>0</v>
      </c>
      <c r="X448">
        <f t="shared" ca="1" si="76"/>
        <v>-19</v>
      </c>
      <c r="Y448">
        <v>0</v>
      </c>
      <c r="Z448">
        <v>0</v>
      </c>
      <c r="AA448">
        <v>0</v>
      </c>
      <c r="AB448" t="s">
        <v>80</v>
      </c>
      <c r="AC448" t="s">
        <v>83</v>
      </c>
      <c r="AD448">
        <v>1</v>
      </c>
      <c r="AE448">
        <v>52</v>
      </c>
      <c r="AF448">
        <v>2257</v>
      </c>
      <c r="AG448" t="s">
        <v>47</v>
      </c>
      <c r="AH448" t="s">
        <v>226</v>
      </c>
      <c r="AI448" t="s">
        <v>227</v>
      </c>
      <c r="AJ448" t="s">
        <v>50</v>
      </c>
      <c r="AK448" t="s">
        <v>51</v>
      </c>
      <c r="AL448">
        <v>3.6726999999999999</v>
      </c>
      <c r="AM448" t="s">
        <v>52</v>
      </c>
      <c r="AN448" t="s">
        <v>246</v>
      </c>
      <c r="AO448" t="s">
        <v>50</v>
      </c>
      <c r="AP448" t="s">
        <v>247</v>
      </c>
      <c r="AQ448" t="s">
        <v>55</v>
      </c>
    </row>
    <row r="449" spans="1:43" x14ac:dyDescent="0.3">
      <c r="A449" t="s">
        <v>43</v>
      </c>
      <c r="B449">
        <v>1999</v>
      </c>
      <c r="C449">
        <v>535</v>
      </c>
      <c r="D449">
        <v>5231</v>
      </c>
      <c r="E449">
        <v>30</v>
      </c>
      <c r="F449">
        <v>202305</v>
      </c>
      <c r="G449">
        <v>3100304</v>
      </c>
      <c r="H449" t="s">
        <v>81</v>
      </c>
      <c r="I449" t="s">
        <v>45</v>
      </c>
      <c r="J449">
        <v>7</v>
      </c>
      <c r="K449">
        <f t="shared" ca="1" si="67"/>
        <v>48</v>
      </c>
      <c r="L449">
        <f t="shared" ca="1" si="68"/>
        <v>91</v>
      </c>
      <c r="M449">
        <f t="shared" ca="1" si="69"/>
        <v>461</v>
      </c>
      <c r="N449">
        <f t="shared" ca="1" si="69"/>
        <v>287</v>
      </c>
      <c r="O449">
        <f t="shared" ca="1" si="66"/>
        <v>173</v>
      </c>
      <c r="P449">
        <f t="shared" ca="1" si="70"/>
        <v>92</v>
      </c>
      <c r="Q449">
        <f t="shared" ca="1" si="71"/>
        <v>933</v>
      </c>
      <c r="R449">
        <f t="shared" ca="1" si="72"/>
        <v>49</v>
      </c>
      <c r="S449">
        <f t="shared" ca="1" si="73"/>
        <v>14708</v>
      </c>
      <c r="T449">
        <f t="shared" ca="1" si="74"/>
        <v>3316</v>
      </c>
      <c r="U449">
        <f t="shared" ca="1" si="75"/>
        <v>673</v>
      </c>
      <c r="V449">
        <v>0</v>
      </c>
      <c r="W449">
        <v>0</v>
      </c>
      <c r="X449">
        <f t="shared" ca="1" si="76"/>
        <v>18</v>
      </c>
      <c r="Y449">
        <v>0</v>
      </c>
      <c r="Z449">
        <v>0</v>
      </c>
      <c r="AA449">
        <v>0</v>
      </c>
      <c r="AB449" t="s">
        <v>80</v>
      </c>
      <c r="AC449" t="s">
        <v>84</v>
      </c>
      <c r="AD449">
        <v>1</v>
      </c>
      <c r="AE449">
        <v>52</v>
      </c>
      <c r="AF449">
        <v>2257</v>
      </c>
      <c r="AG449" t="s">
        <v>47</v>
      </c>
      <c r="AH449" t="s">
        <v>226</v>
      </c>
      <c r="AI449" t="s">
        <v>227</v>
      </c>
      <c r="AJ449" t="s">
        <v>50</v>
      </c>
      <c r="AK449" t="s">
        <v>51</v>
      </c>
      <c r="AL449">
        <v>3.6726999999999999</v>
      </c>
      <c r="AM449" t="s">
        <v>52</v>
      </c>
      <c r="AN449" t="s">
        <v>246</v>
      </c>
      <c r="AO449" t="s">
        <v>50</v>
      </c>
      <c r="AP449" t="s">
        <v>247</v>
      </c>
      <c r="AQ449" t="s">
        <v>55</v>
      </c>
    </row>
    <row r="450" spans="1:43" x14ac:dyDescent="0.3">
      <c r="A450" t="s">
        <v>43</v>
      </c>
      <c r="B450">
        <v>1999</v>
      </c>
      <c r="C450">
        <v>535</v>
      </c>
      <c r="D450">
        <v>5231</v>
      </c>
      <c r="E450">
        <v>30</v>
      </c>
      <c r="F450">
        <v>202305</v>
      </c>
      <c r="G450">
        <v>3100305</v>
      </c>
      <c r="H450" t="s">
        <v>81</v>
      </c>
      <c r="I450" t="s">
        <v>45</v>
      </c>
      <c r="J450">
        <v>7</v>
      </c>
      <c r="K450">
        <f t="shared" ca="1" si="67"/>
        <v>21</v>
      </c>
      <c r="L450">
        <f t="shared" ca="1" si="68"/>
        <v>-79</v>
      </c>
      <c r="M450">
        <f t="shared" ca="1" si="69"/>
        <v>216</v>
      </c>
      <c r="N450">
        <f t="shared" ca="1" si="69"/>
        <v>4</v>
      </c>
      <c r="O450">
        <f t="shared" ref="O450:O513" ca="1" si="77">RANDBETWEEN(-100, 1000)</f>
        <v>59</v>
      </c>
      <c r="P450">
        <f t="shared" ca="1" si="70"/>
        <v>-225</v>
      </c>
      <c r="Q450">
        <f t="shared" ca="1" si="71"/>
        <v>127</v>
      </c>
      <c r="R450">
        <f t="shared" ca="1" si="72"/>
        <v>382</v>
      </c>
      <c r="S450">
        <f t="shared" ca="1" si="73"/>
        <v>8211</v>
      </c>
      <c r="T450">
        <f t="shared" ca="1" si="74"/>
        <v>8842</v>
      </c>
      <c r="U450">
        <f t="shared" ca="1" si="75"/>
        <v>936</v>
      </c>
      <c r="V450">
        <v>0</v>
      </c>
      <c r="W450">
        <v>0</v>
      </c>
      <c r="X450">
        <f t="shared" ca="1" si="76"/>
        <v>-62</v>
      </c>
      <c r="Y450">
        <v>0</v>
      </c>
      <c r="Z450">
        <v>0</v>
      </c>
      <c r="AA450">
        <v>0</v>
      </c>
      <c r="AB450" t="s">
        <v>80</v>
      </c>
      <c r="AC450" t="s">
        <v>85</v>
      </c>
      <c r="AD450">
        <v>1</v>
      </c>
      <c r="AE450">
        <v>52</v>
      </c>
      <c r="AF450">
        <v>2257</v>
      </c>
      <c r="AG450" t="s">
        <v>47</v>
      </c>
      <c r="AH450" t="s">
        <v>226</v>
      </c>
      <c r="AI450" t="s">
        <v>227</v>
      </c>
      <c r="AJ450" t="s">
        <v>50</v>
      </c>
      <c r="AK450" t="s">
        <v>51</v>
      </c>
      <c r="AL450">
        <v>3.6726999999999999</v>
      </c>
      <c r="AM450" t="s">
        <v>52</v>
      </c>
      <c r="AN450" t="s">
        <v>246</v>
      </c>
      <c r="AO450" t="s">
        <v>50</v>
      </c>
      <c r="AP450" t="s">
        <v>247</v>
      </c>
      <c r="AQ450" t="s">
        <v>55</v>
      </c>
    </row>
    <row r="451" spans="1:43" x14ac:dyDescent="0.3">
      <c r="A451" t="s">
        <v>43</v>
      </c>
      <c r="B451">
        <v>1999</v>
      </c>
      <c r="C451">
        <v>535</v>
      </c>
      <c r="D451">
        <v>5231</v>
      </c>
      <c r="E451">
        <v>30</v>
      </c>
      <c r="F451">
        <v>202305</v>
      </c>
      <c r="G451">
        <v>3100337</v>
      </c>
      <c r="H451" t="s">
        <v>81</v>
      </c>
      <c r="I451" t="s">
        <v>45</v>
      </c>
      <c r="J451">
        <v>7</v>
      </c>
      <c r="K451">
        <f t="shared" ref="K451:K514" ca="1" si="78">RANDBETWEEN(0, 100)</f>
        <v>16</v>
      </c>
      <c r="L451">
        <f t="shared" ref="L451:L514" ca="1" si="79">RANDBETWEEN(-100, 100)</f>
        <v>-57</v>
      </c>
      <c r="M451">
        <f t="shared" ref="M451:N514" ca="1" si="80">RANDBETWEEN(-100, 500)</f>
        <v>121</v>
      </c>
      <c r="N451">
        <f t="shared" ca="1" si="80"/>
        <v>213</v>
      </c>
      <c r="O451">
        <f t="shared" ca="1" si="77"/>
        <v>17</v>
      </c>
      <c r="P451">
        <f t="shared" ref="P451:P514" ca="1" si="81">RANDBETWEEN(-500, 1500)</f>
        <v>1087</v>
      </c>
      <c r="Q451">
        <f t="shared" ref="Q451:Q514" ca="1" si="82">RANDBETWEEN(0,1200)</f>
        <v>212</v>
      </c>
      <c r="R451">
        <f t="shared" ref="R451:R514" ca="1" si="83">RANDBETWEEN(-100, 500)</f>
        <v>175</v>
      </c>
      <c r="S451">
        <f t="shared" ref="S451:S514" ca="1" si="84">RANDBETWEEN(-100, 15000)</f>
        <v>10875</v>
      </c>
      <c r="T451">
        <f t="shared" ref="T451:T514" ca="1" si="85">RANDBETWEEN(-100, 10000)</f>
        <v>9014</v>
      </c>
      <c r="U451">
        <f t="shared" ref="U451:U514" ca="1" si="86">RANDBETWEEN(-100, 1300)</f>
        <v>730</v>
      </c>
      <c r="V451">
        <v>0</v>
      </c>
      <c r="W451">
        <v>0</v>
      </c>
      <c r="X451">
        <f t="shared" ref="X451:X514" ca="1" si="87">RANDBETWEEN(-500, 100)</f>
        <v>-168</v>
      </c>
      <c r="Y451">
        <v>0</v>
      </c>
      <c r="Z451">
        <v>0</v>
      </c>
      <c r="AA451">
        <v>0</v>
      </c>
      <c r="AB451" t="s">
        <v>80</v>
      </c>
      <c r="AC451" t="s">
        <v>241</v>
      </c>
      <c r="AD451">
        <v>1</v>
      </c>
      <c r="AE451">
        <v>52</v>
      </c>
      <c r="AF451">
        <v>2257</v>
      </c>
      <c r="AG451" t="s">
        <v>47</v>
      </c>
      <c r="AH451" t="s">
        <v>226</v>
      </c>
      <c r="AI451" t="s">
        <v>227</v>
      </c>
      <c r="AJ451" t="s">
        <v>50</v>
      </c>
      <c r="AK451" t="s">
        <v>51</v>
      </c>
      <c r="AL451">
        <v>3.6726999999999999</v>
      </c>
      <c r="AM451" t="s">
        <v>52</v>
      </c>
      <c r="AN451" t="s">
        <v>246</v>
      </c>
      <c r="AO451" t="s">
        <v>50</v>
      </c>
      <c r="AP451" t="s">
        <v>247</v>
      </c>
      <c r="AQ451" t="s">
        <v>55</v>
      </c>
    </row>
    <row r="452" spans="1:43" x14ac:dyDescent="0.3">
      <c r="A452" t="s">
        <v>43</v>
      </c>
      <c r="B452">
        <v>1999</v>
      </c>
      <c r="C452">
        <v>535</v>
      </c>
      <c r="D452">
        <v>5231</v>
      </c>
      <c r="E452">
        <v>30</v>
      </c>
      <c r="F452">
        <v>202305</v>
      </c>
      <c r="G452">
        <v>3100364</v>
      </c>
      <c r="H452" t="s">
        <v>81</v>
      </c>
      <c r="I452" t="s">
        <v>45</v>
      </c>
      <c r="J452">
        <v>7</v>
      </c>
      <c r="K452">
        <f t="shared" ca="1" si="78"/>
        <v>17</v>
      </c>
      <c r="L452">
        <f t="shared" ca="1" si="79"/>
        <v>-44</v>
      </c>
      <c r="M452">
        <f t="shared" ca="1" si="80"/>
        <v>17</v>
      </c>
      <c r="N452">
        <f t="shared" ca="1" si="80"/>
        <v>-53</v>
      </c>
      <c r="O452">
        <f t="shared" ca="1" si="77"/>
        <v>53</v>
      </c>
      <c r="P452">
        <f t="shared" ca="1" si="81"/>
        <v>-34</v>
      </c>
      <c r="Q452">
        <f t="shared" ca="1" si="82"/>
        <v>927</v>
      </c>
      <c r="R452">
        <f t="shared" ca="1" si="83"/>
        <v>487</v>
      </c>
      <c r="S452">
        <f t="shared" ca="1" si="84"/>
        <v>5700</v>
      </c>
      <c r="T452">
        <f t="shared" ca="1" si="85"/>
        <v>540</v>
      </c>
      <c r="U452">
        <f t="shared" ca="1" si="86"/>
        <v>1106</v>
      </c>
      <c r="V452">
        <v>0</v>
      </c>
      <c r="W452">
        <v>0</v>
      </c>
      <c r="X452">
        <f t="shared" ca="1" si="87"/>
        <v>-484</v>
      </c>
      <c r="Y452">
        <v>0</v>
      </c>
      <c r="Z452">
        <v>0</v>
      </c>
      <c r="AA452">
        <v>0</v>
      </c>
      <c r="AB452" t="s">
        <v>80</v>
      </c>
      <c r="AC452" t="s">
        <v>89</v>
      </c>
      <c r="AD452">
        <v>1</v>
      </c>
      <c r="AE452">
        <v>52</v>
      </c>
      <c r="AF452">
        <v>2257</v>
      </c>
      <c r="AG452" t="s">
        <v>47</v>
      </c>
      <c r="AH452" t="s">
        <v>226</v>
      </c>
      <c r="AI452" t="s">
        <v>227</v>
      </c>
      <c r="AJ452" t="s">
        <v>50</v>
      </c>
      <c r="AK452" t="s">
        <v>51</v>
      </c>
      <c r="AL452">
        <v>3.6726999999999999</v>
      </c>
      <c r="AM452" t="s">
        <v>52</v>
      </c>
      <c r="AN452" t="s">
        <v>246</v>
      </c>
      <c r="AO452" t="s">
        <v>50</v>
      </c>
      <c r="AP452" t="s">
        <v>247</v>
      </c>
      <c r="AQ452" t="s">
        <v>55</v>
      </c>
    </row>
    <row r="453" spans="1:43" x14ac:dyDescent="0.3">
      <c r="A453" t="s">
        <v>43</v>
      </c>
      <c r="B453">
        <v>1999</v>
      </c>
      <c r="C453">
        <v>535</v>
      </c>
      <c r="D453">
        <v>5231</v>
      </c>
      <c r="E453">
        <v>30</v>
      </c>
      <c r="F453">
        <v>202305</v>
      </c>
      <c r="G453">
        <v>3100370</v>
      </c>
      <c r="H453" t="s">
        <v>81</v>
      </c>
      <c r="I453" t="s">
        <v>45</v>
      </c>
      <c r="J453">
        <v>7</v>
      </c>
      <c r="K453">
        <f t="shared" ca="1" si="78"/>
        <v>40</v>
      </c>
      <c r="L453">
        <f t="shared" ca="1" si="79"/>
        <v>88</v>
      </c>
      <c r="M453">
        <f t="shared" ca="1" si="80"/>
        <v>33</v>
      </c>
      <c r="N453">
        <f t="shared" ca="1" si="80"/>
        <v>414</v>
      </c>
      <c r="O453">
        <f t="shared" ca="1" si="77"/>
        <v>493</v>
      </c>
      <c r="P453">
        <f t="shared" ca="1" si="81"/>
        <v>1258</v>
      </c>
      <c r="Q453">
        <f t="shared" ca="1" si="82"/>
        <v>270</v>
      </c>
      <c r="R453">
        <f t="shared" ca="1" si="83"/>
        <v>341</v>
      </c>
      <c r="S453">
        <f t="shared" ca="1" si="84"/>
        <v>10804</v>
      </c>
      <c r="T453">
        <f t="shared" ca="1" si="85"/>
        <v>1976</v>
      </c>
      <c r="U453">
        <f t="shared" ca="1" si="86"/>
        <v>776</v>
      </c>
      <c r="V453">
        <v>0</v>
      </c>
      <c r="W453">
        <v>0</v>
      </c>
      <c r="X453">
        <f t="shared" ca="1" si="87"/>
        <v>-145</v>
      </c>
      <c r="Y453">
        <v>0</v>
      </c>
      <c r="Z453">
        <v>0</v>
      </c>
      <c r="AA453">
        <v>0</v>
      </c>
      <c r="AB453" t="s">
        <v>80</v>
      </c>
      <c r="AC453" t="s">
        <v>112</v>
      </c>
      <c r="AD453">
        <v>1</v>
      </c>
      <c r="AE453">
        <v>52</v>
      </c>
      <c r="AF453">
        <v>2257</v>
      </c>
      <c r="AG453" t="s">
        <v>47</v>
      </c>
      <c r="AH453" t="s">
        <v>226</v>
      </c>
      <c r="AI453" t="s">
        <v>227</v>
      </c>
      <c r="AJ453" t="s">
        <v>50</v>
      </c>
      <c r="AK453" t="s">
        <v>51</v>
      </c>
      <c r="AL453">
        <v>3.6726999999999999</v>
      </c>
      <c r="AM453" t="s">
        <v>52</v>
      </c>
      <c r="AN453" t="s">
        <v>246</v>
      </c>
      <c r="AO453" t="s">
        <v>50</v>
      </c>
      <c r="AP453" t="s">
        <v>247</v>
      </c>
      <c r="AQ453" t="s">
        <v>55</v>
      </c>
    </row>
    <row r="454" spans="1:43" x14ac:dyDescent="0.3">
      <c r="A454" t="s">
        <v>43</v>
      </c>
      <c r="B454">
        <v>1999</v>
      </c>
      <c r="C454">
        <v>535</v>
      </c>
      <c r="D454">
        <v>5231</v>
      </c>
      <c r="E454">
        <v>30</v>
      </c>
      <c r="F454">
        <v>202305</v>
      </c>
      <c r="G454">
        <v>3100371</v>
      </c>
      <c r="H454" t="s">
        <v>81</v>
      </c>
      <c r="I454" t="s">
        <v>45</v>
      </c>
      <c r="J454">
        <v>7</v>
      </c>
      <c r="K454">
        <f t="shared" ca="1" si="78"/>
        <v>91</v>
      </c>
      <c r="L454">
        <f t="shared" ca="1" si="79"/>
        <v>-64</v>
      </c>
      <c r="M454">
        <f t="shared" ca="1" si="80"/>
        <v>56</v>
      </c>
      <c r="N454">
        <f t="shared" ca="1" si="80"/>
        <v>153</v>
      </c>
      <c r="O454">
        <f t="shared" ca="1" si="77"/>
        <v>498</v>
      </c>
      <c r="P454">
        <f t="shared" ca="1" si="81"/>
        <v>207</v>
      </c>
      <c r="Q454">
        <f t="shared" ca="1" si="82"/>
        <v>690</v>
      </c>
      <c r="R454">
        <f t="shared" ca="1" si="83"/>
        <v>384</v>
      </c>
      <c r="S454">
        <f t="shared" ca="1" si="84"/>
        <v>7650</v>
      </c>
      <c r="T454">
        <f t="shared" ca="1" si="85"/>
        <v>9813</v>
      </c>
      <c r="U454">
        <f t="shared" ca="1" si="86"/>
        <v>368</v>
      </c>
      <c r="V454">
        <v>0</v>
      </c>
      <c r="W454">
        <v>0</v>
      </c>
      <c r="X454">
        <f t="shared" ca="1" si="87"/>
        <v>-70</v>
      </c>
      <c r="Y454">
        <v>0</v>
      </c>
      <c r="Z454">
        <v>0</v>
      </c>
      <c r="AA454">
        <v>0</v>
      </c>
      <c r="AB454" t="s">
        <v>80</v>
      </c>
      <c r="AC454" t="s">
        <v>213</v>
      </c>
      <c r="AD454">
        <v>1</v>
      </c>
      <c r="AE454">
        <v>52</v>
      </c>
      <c r="AF454">
        <v>2257</v>
      </c>
      <c r="AG454" t="s">
        <v>47</v>
      </c>
      <c r="AH454" t="s">
        <v>226</v>
      </c>
      <c r="AI454" t="s">
        <v>227</v>
      </c>
      <c r="AJ454" t="s">
        <v>50</v>
      </c>
      <c r="AK454" t="s">
        <v>51</v>
      </c>
      <c r="AL454">
        <v>3.6726999999999999</v>
      </c>
      <c r="AM454" t="s">
        <v>52</v>
      </c>
      <c r="AN454" t="s">
        <v>246</v>
      </c>
      <c r="AO454" t="s">
        <v>50</v>
      </c>
      <c r="AP454" t="s">
        <v>247</v>
      </c>
      <c r="AQ454" t="s">
        <v>55</v>
      </c>
    </row>
    <row r="455" spans="1:43" x14ac:dyDescent="0.3">
      <c r="A455" t="s">
        <v>43</v>
      </c>
      <c r="B455">
        <v>1999</v>
      </c>
      <c r="C455">
        <v>535</v>
      </c>
      <c r="D455">
        <v>5231</v>
      </c>
      <c r="E455">
        <v>30</v>
      </c>
      <c r="F455">
        <v>202305</v>
      </c>
      <c r="G455">
        <v>3100375</v>
      </c>
      <c r="H455" t="s">
        <v>81</v>
      </c>
      <c r="I455" t="s">
        <v>45</v>
      </c>
      <c r="J455">
        <v>7</v>
      </c>
      <c r="K455">
        <f t="shared" ca="1" si="78"/>
        <v>18</v>
      </c>
      <c r="L455">
        <f t="shared" ca="1" si="79"/>
        <v>63</v>
      </c>
      <c r="M455">
        <f t="shared" ca="1" si="80"/>
        <v>261</v>
      </c>
      <c r="N455">
        <f t="shared" ca="1" si="80"/>
        <v>300</v>
      </c>
      <c r="O455">
        <f t="shared" ca="1" si="77"/>
        <v>965</v>
      </c>
      <c r="P455">
        <f t="shared" ca="1" si="81"/>
        <v>211</v>
      </c>
      <c r="Q455">
        <f t="shared" ca="1" si="82"/>
        <v>1153</v>
      </c>
      <c r="R455">
        <f t="shared" ca="1" si="83"/>
        <v>416</v>
      </c>
      <c r="S455">
        <f t="shared" ca="1" si="84"/>
        <v>6498</v>
      </c>
      <c r="T455">
        <f t="shared" ca="1" si="85"/>
        <v>3925</v>
      </c>
      <c r="U455">
        <f t="shared" ca="1" si="86"/>
        <v>876</v>
      </c>
      <c r="V455">
        <v>0</v>
      </c>
      <c r="W455">
        <v>0</v>
      </c>
      <c r="X455">
        <f t="shared" ca="1" si="87"/>
        <v>-438</v>
      </c>
      <c r="Y455">
        <v>0</v>
      </c>
      <c r="Z455">
        <v>0</v>
      </c>
      <c r="AA455">
        <v>0</v>
      </c>
      <c r="AB455" t="s">
        <v>80</v>
      </c>
      <c r="AC455" t="s">
        <v>234</v>
      </c>
      <c r="AD455">
        <v>1</v>
      </c>
      <c r="AE455">
        <v>52</v>
      </c>
      <c r="AF455">
        <v>2257</v>
      </c>
      <c r="AG455" t="s">
        <v>47</v>
      </c>
      <c r="AH455" t="s">
        <v>226</v>
      </c>
      <c r="AI455" t="s">
        <v>227</v>
      </c>
      <c r="AJ455" t="s">
        <v>50</v>
      </c>
      <c r="AK455" t="s">
        <v>51</v>
      </c>
      <c r="AL455">
        <v>3.6726999999999999</v>
      </c>
      <c r="AM455" t="s">
        <v>52</v>
      </c>
      <c r="AN455" t="s">
        <v>246</v>
      </c>
      <c r="AO455" t="s">
        <v>50</v>
      </c>
      <c r="AP455" t="s">
        <v>247</v>
      </c>
      <c r="AQ455" t="s">
        <v>55</v>
      </c>
    </row>
    <row r="456" spans="1:43" x14ac:dyDescent="0.3">
      <c r="A456" t="s">
        <v>43</v>
      </c>
      <c r="B456">
        <v>1999</v>
      </c>
      <c r="C456">
        <v>535</v>
      </c>
      <c r="D456">
        <v>5231</v>
      </c>
      <c r="E456">
        <v>30</v>
      </c>
      <c r="F456">
        <v>202305</v>
      </c>
      <c r="G456">
        <v>3100377</v>
      </c>
      <c r="H456" t="s">
        <v>81</v>
      </c>
      <c r="I456" t="s">
        <v>45</v>
      </c>
      <c r="J456">
        <v>7</v>
      </c>
      <c r="K456">
        <f t="shared" ca="1" si="78"/>
        <v>18</v>
      </c>
      <c r="L456">
        <f t="shared" ca="1" si="79"/>
        <v>51</v>
      </c>
      <c r="M456">
        <f t="shared" ca="1" si="80"/>
        <v>256</v>
      </c>
      <c r="N456">
        <f t="shared" ca="1" si="80"/>
        <v>372</v>
      </c>
      <c r="O456">
        <f t="shared" ca="1" si="77"/>
        <v>296</v>
      </c>
      <c r="P456">
        <f t="shared" ca="1" si="81"/>
        <v>390</v>
      </c>
      <c r="Q456">
        <f t="shared" ca="1" si="82"/>
        <v>198</v>
      </c>
      <c r="R456">
        <f t="shared" ca="1" si="83"/>
        <v>156</v>
      </c>
      <c r="S456">
        <f t="shared" ca="1" si="84"/>
        <v>7565</v>
      </c>
      <c r="T456">
        <f t="shared" ca="1" si="85"/>
        <v>1221</v>
      </c>
      <c r="U456">
        <f t="shared" ca="1" si="86"/>
        <v>485</v>
      </c>
      <c r="V456">
        <v>0</v>
      </c>
      <c r="W456">
        <v>0</v>
      </c>
      <c r="X456">
        <f t="shared" ca="1" si="87"/>
        <v>-434</v>
      </c>
      <c r="Y456">
        <v>0</v>
      </c>
      <c r="Z456">
        <v>0</v>
      </c>
      <c r="AA456">
        <v>0</v>
      </c>
      <c r="AB456" t="s">
        <v>80</v>
      </c>
      <c r="AC456" t="s">
        <v>113</v>
      </c>
      <c r="AD456">
        <v>1</v>
      </c>
      <c r="AE456">
        <v>52</v>
      </c>
      <c r="AF456">
        <v>2257</v>
      </c>
      <c r="AG456" t="s">
        <v>47</v>
      </c>
      <c r="AH456" t="s">
        <v>226</v>
      </c>
      <c r="AI456" t="s">
        <v>227</v>
      </c>
      <c r="AJ456" t="s">
        <v>50</v>
      </c>
      <c r="AK456" t="s">
        <v>51</v>
      </c>
      <c r="AL456">
        <v>3.6726999999999999</v>
      </c>
      <c r="AM456" t="s">
        <v>52</v>
      </c>
      <c r="AN456" t="s">
        <v>246</v>
      </c>
      <c r="AO456" t="s">
        <v>50</v>
      </c>
      <c r="AP456" t="s">
        <v>247</v>
      </c>
      <c r="AQ456" t="s">
        <v>55</v>
      </c>
    </row>
    <row r="457" spans="1:43" x14ac:dyDescent="0.3">
      <c r="A457" t="s">
        <v>43</v>
      </c>
      <c r="B457">
        <v>1999</v>
      </c>
      <c r="C457">
        <v>535</v>
      </c>
      <c r="D457">
        <v>5231</v>
      </c>
      <c r="E457">
        <v>30</v>
      </c>
      <c r="F457">
        <v>202305</v>
      </c>
      <c r="G457">
        <v>3200341</v>
      </c>
      <c r="H457" t="s">
        <v>81</v>
      </c>
      <c r="I457" t="s">
        <v>45</v>
      </c>
      <c r="J457">
        <v>7</v>
      </c>
      <c r="K457">
        <f t="shared" ca="1" si="78"/>
        <v>50</v>
      </c>
      <c r="L457">
        <f t="shared" ca="1" si="79"/>
        <v>95</v>
      </c>
      <c r="M457">
        <f t="shared" ca="1" si="80"/>
        <v>-46</v>
      </c>
      <c r="N457">
        <f t="shared" ca="1" si="80"/>
        <v>450</v>
      </c>
      <c r="O457">
        <f t="shared" ca="1" si="77"/>
        <v>559</v>
      </c>
      <c r="P457">
        <f t="shared" ca="1" si="81"/>
        <v>978</v>
      </c>
      <c r="Q457">
        <f t="shared" ca="1" si="82"/>
        <v>491</v>
      </c>
      <c r="R457">
        <f t="shared" ca="1" si="83"/>
        <v>416</v>
      </c>
      <c r="S457">
        <f t="shared" ca="1" si="84"/>
        <v>9931</v>
      </c>
      <c r="T457">
        <f t="shared" ca="1" si="85"/>
        <v>1441</v>
      </c>
      <c r="U457">
        <f t="shared" ca="1" si="86"/>
        <v>1259</v>
      </c>
      <c r="V457">
        <v>0</v>
      </c>
      <c r="W457">
        <v>0</v>
      </c>
      <c r="X457">
        <f t="shared" ca="1" si="87"/>
        <v>-178</v>
      </c>
      <c r="Y457">
        <v>0</v>
      </c>
      <c r="Z457">
        <v>0</v>
      </c>
      <c r="AA457">
        <v>0</v>
      </c>
      <c r="AB457" t="s">
        <v>114</v>
      </c>
      <c r="AC457" t="s">
        <v>115</v>
      </c>
      <c r="AD457">
        <v>1</v>
      </c>
      <c r="AE457">
        <v>52</v>
      </c>
      <c r="AF457">
        <v>2257</v>
      </c>
      <c r="AG457" t="s">
        <v>47</v>
      </c>
      <c r="AH457" t="s">
        <v>226</v>
      </c>
      <c r="AI457" t="s">
        <v>227</v>
      </c>
      <c r="AJ457" t="s">
        <v>50</v>
      </c>
      <c r="AK457" t="s">
        <v>51</v>
      </c>
      <c r="AL457">
        <v>3.6726999999999999</v>
      </c>
      <c r="AM457" t="s">
        <v>52</v>
      </c>
      <c r="AN457" t="s">
        <v>246</v>
      </c>
      <c r="AO457" t="s">
        <v>50</v>
      </c>
      <c r="AP457" t="s">
        <v>247</v>
      </c>
      <c r="AQ457" t="s">
        <v>55</v>
      </c>
    </row>
    <row r="458" spans="1:43" x14ac:dyDescent="0.3">
      <c r="A458" t="s">
        <v>43</v>
      </c>
      <c r="B458">
        <v>1999</v>
      </c>
      <c r="C458">
        <v>535</v>
      </c>
      <c r="D458">
        <v>5231</v>
      </c>
      <c r="E458">
        <v>30</v>
      </c>
      <c r="F458">
        <v>202305</v>
      </c>
      <c r="G458">
        <v>3200342</v>
      </c>
      <c r="H458" t="s">
        <v>81</v>
      </c>
      <c r="I458" t="s">
        <v>45</v>
      </c>
      <c r="J458">
        <v>7</v>
      </c>
      <c r="K458">
        <f t="shared" ca="1" si="78"/>
        <v>72</v>
      </c>
      <c r="L458">
        <f t="shared" ca="1" si="79"/>
        <v>33</v>
      </c>
      <c r="M458">
        <f t="shared" ca="1" si="80"/>
        <v>120</v>
      </c>
      <c r="N458">
        <f t="shared" ca="1" si="80"/>
        <v>192</v>
      </c>
      <c r="O458">
        <f t="shared" ca="1" si="77"/>
        <v>663</v>
      </c>
      <c r="P458">
        <f t="shared" ca="1" si="81"/>
        <v>274</v>
      </c>
      <c r="Q458">
        <f t="shared" ca="1" si="82"/>
        <v>776</v>
      </c>
      <c r="R458">
        <f t="shared" ca="1" si="83"/>
        <v>254</v>
      </c>
      <c r="S458">
        <f t="shared" ca="1" si="84"/>
        <v>3712</v>
      </c>
      <c r="T458">
        <f t="shared" ca="1" si="85"/>
        <v>1264</v>
      </c>
      <c r="U458">
        <f t="shared" ca="1" si="86"/>
        <v>714</v>
      </c>
      <c r="V458">
        <v>0</v>
      </c>
      <c r="W458">
        <v>0</v>
      </c>
      <c r="X458">
        <f t="shared" ca="1" si="87"/>
        <v>-354</v>
      </c>
      <c r="Y458">
        <v>0</v>
      </c>
      <c r="Z458">
        <v>0</v>
      </c>
      <c r="AA458">
        <v>0</v>
      </c>
      <c r="AB458" t="s">
        <v>114</v>
      </c>
      <c r="AC458" t="s">
        <v>116</v>
      </c>
      <c r="AD458">
        <v>1</v>
      </c>
      <c r="AE458">
        <v>52</v>
      </c>
      <c r="AF458">
        <v>2257</v>
      </c>
      <c r="AG458" t="s">
        <v>47</v>
      </c>
      <c r="AH458" t="s">
        <v>226</v>
      </c>
      <c r="AI458" t="s">
        <v>227</v>
      </c>
      <c r="AJ458" t="s">
        <v>50</v>
      </c>
      <c r="AK458" t="s">
        <v>51</v>
      </c>
      <c r="AL458">
        <v>3.6726999999999999</v>
      </c>
      <c r="AM458" t="s">
        <v>52</v>
      </c>
      <c r="AN458" t="s">
        <v>246</v>
      </c>
      <c r="AO458" t="s">
        <v>50</v>
      </c>
      <c r="AP458" t="s">
        <v>247</v>
      </c>
      <c r="AQ458" t="s">
        <v>55</v>
      </c>
    </row>
    <row r="459" spans="1:43" x14ac:dyDescent="0.3">
      <c r="A459" t="s">
        <v>43</v>
      </c>
      <c r="B459">
        <v>1999</v>
      </c>
      <c r="C459">
        <v>535</v>
      </c>
      <c r="D459">
        <v>5231</v>
      </c>
      <c r="E459">
        <v>30</v>
      </c>
      <c r="F459">
        <v>202305</v>
      </c>
      <c r="G459">
        <v>3200343</v>
      </c>
      <c r="H459" t="s">
        <v>81</v>
      </c>
      <c r="I459" t="s">
        <v>45</v>
      </c>
      <c r="J459">
        <v>7</v>
      </c>
      <c r="K459">
        <f t="shared" ca="1" si="78"/>
        <v>31</v>
      </c>
      <c r="L459">
        <f t="shared" ca="1" si="79"/>
        <v>66</v>
      </c>
      <c r="M459">
        <f t="shared" ca="1" si="80"/>
        <v>394</v>
      </c>
      <c r="N459">
        <f t="shared" ca="1" si="80"/>
        <v>1</v>
      </c>
      <c r="O459">
        <f t="shared" ca="1" si="77"/>
        <v>782</v>
      </c>
      <c r="P459">
        <f t="shared" ca="1" si="81"/>
        <v>-306</v>
      </c>
      <c r="Q459">
        <f t="shared" ca="1" si="82"/>
        <v>550</v>
      </c>
      <c r="R459">
        <f t="shared" ca="1" si="83"/>
        <v>257</v>
      </c>
      <c r="S459">
        <f t="shared" ca="1" si="84"/>
        <v>6466</v>
      </c>
      <c r="T459">
        <f t="shared" ca="1" si="85"/>
        <v>6310</v>
      </c>
      <c r="U459">
        <f t="shared" ca="1" si="86"/>
        <v>905</v>
      </c>
      <c r="V459">
        <v>0</v>
      </c>
      <c r="W459">
        <v>0</v>
      </c>
      <c r="X459">
        <f t="shared" ca="1" si="87"/>
        <v>-479</v>
      </c>
      <c r="Y459">
        <v>0</v>
      </c>
      <c r="Z459">
        <v>0</v>
      </c>
      <c r="AA459">
        <v>0</v>
      </c>
      <c r="AB459" t="s">
        <v>114</v>
      </c>
      <c r="AC459" t="s">
        <v>117</v>
      </c>
      <c r="AD459">
        <v>1</v>
      </c>
      <c r="AE459">
        <v>52</v>
      </c>
      <c r="AF459">
        <v>2257</v>
      </c>
      <c r="AG459" t="s">
        <v>47</v>
      </c>
      <c r="AH459" t="s">
        <v>226</v>
      </c>
      <c r="AI459" t="s">
        <v>227</v>
      </c>
      <c r="AJ459" t="s">
        <v>50</v>
      </c>
      <c r="AK459" t="s">
        <v>51</v>
      </c>
      <c r="AL459">
        <v>3.6726999999999999</v>
      </c>
      <c r="AM459" t="s">
        <v>52</v>
      </c>
      <c r="AN459" t="s">
        <v>246</v>
      </c>
      <c r="AO459" t="s">
        <v>50</v>
      </c>
      <c r="AP459" t="s">
        <v>247</v>
      </c>
      <c r="AQ459" t="s">
        <v>55</v>
      </c>
    </row>
    <row r="460" spans="1:43" x14ac:dyDescent="0.3">
      <c r="A460" t="s">
        <v>43</v>
      </c>
      <c r="B460">
        <v>1999</v>
      </c>
      <c r="C460">
        <v>535</v>
      </c>
      <c r="D460">
        <v>5231</v>
      </c>
      <c r="E460">
        <v>30</v>
      </c>
      <c r="F460">
        <v>202305</v>
      </c>
      <c r="G460">
        <v>3200344</v>
      </c>
      <c r="H460" t="s">
        <v>81</v>
      </c>
      <c r="I460" t="s">
        <v>45</v>
      </c>
      <c r="J460">
        <v>7</v>
      </c>
      <c r="K460">
        <f t="shared" ca="1" si="78"/>
        <v>14</v>
      </c>
      <c r="L460">
        <f t="shared" ca="1" si="79"/>
        <v>-84</v>
      </c>
      <c r="M460">
        <f t="shared" ca="1" si="80"/>
        <v>456</v>
      </c>
      <c r="N460">
        <f t="shared" ca="1" si="80"/>
        <v>87</v>
      </c>
      <c r="O460">
        <f t="shared" ca="1" si="77"/>
        <v>319</v>
      </c>
      <c r="P460">
        <f t="shared" ca="1" si="81"/>
        <v>984</v>
      </c>
      <c r="Q460">
        <f t="shared" ca="1" si="82"/>
        <v>373</v>
      </c>
      <c r="R460">
        <f t="shared" ca="1" si="83"/>
        <v>211</v>
      </c>
      <c r="S460">
        <f t="shared" ca="1" si="84"/>
        <v>8958</v>
      </c>
      <c r="T460">
        <f t="shared" ca="1" si="85"/>
        <v>6779</v>
      </c>
      <c r="U460">
        <f t="shared" ca="1" si="86"/>
        <v>349</v>
      </c>
      <c r="V460">
        <v>0</v>
      </c>
      <c r="W460">
        <v>0</v>
      </c>
      <c r="X460">
        <f t="shared" ca="1" si="87"/>
        <v>-81</v>
      </c>
      <c r="Y460">
        <v>0</v>
      </c>
      <c r="Z460">
        <v>0</v>
      </c>
      <c r="AA460">
        <v>0</v>
      </c>
      <c r="AB460" t="s">
        <v>114</v>
      </c>
      <c r="AC460" t="s">
        <v>118</v>
      </c>
      <c r="AD460">
        <v>1</v>
      </c>
      <c r="AE460">
        <v>52</v>
      </c>
      <c r="AF460">
        <v>2257</v>
      </c>
      <c r="AG460" t="s">
        <v>47</v>
      </c>
      <c r="AH460" t="s">
        <v>226</v>
      </c>
      <c r="AI460" t="s">
        <v>227</v>
      </c>
      <c r="AJ460" t="s">
        <v>50</v>
      </c>
      <c r="AK460" t="s">
        <v>51</v>
      </c>
      <c r="AL460">
        <v>3.6726999999999999</v>
      </c>
      <c r="AM460" t="s">
        <v>52</v>
      </c>
      <c r="AN460" t="s">
        <v>246</v>
      </c>
      <c r="AO460" t="s">
        <v>50</v>
      </c>
      <c r="AP460" t="s">
        <v>247</v>
      </c>
      <c r="AQ460" t="s">
        <v>55</v>
      </c>
    </row>
    <row r="461" spans="1:43" x14ac:dyDescent="0.3">
      <c r="A461" t="s">
        <v>43</v>
      </c>
      <c r="B461">
        <v>1999</v>
      </c>
      <c r="C461">
        <v>535</v>
      </c>
      <c r="D461">
        <v>5231</v>
      </c>
      <c r="E461">
        <v>30</v>
      </c>
      <c r="F461">
        <v>202305</v>
      </c>
      <c r="G461">
        <v>3200345</v>
      </c>
      <c r="H461" t="s">
        <v>81</v>
      </c>
      <c r="I461" t="s">
        <v>45</v>
      </c>
      <c r="J461">
        <v>7</v>
      </c>
      <c r="K461">
        <f t="shared" ca="1" si="78"/>
        <v>71</v>
      </c>
      <c r="L461">
        <f t="shared" ca="1" si="79"/>
        <v>51</v>
      </c>
      <c r="M461">
        <f t="shared" ca="1" si="80"/>
        <v>123</v>
      </c>
      <c r="N461">
        <f t="shared" ca="1" si="80"/>
        <v>236</v>
      </c>
      <c r="O461">
        <f t="shared" ca="1" si="77"/>
        <v>372</v>
      </c>
      <c r="P461">
        <f t="shared" ca="1" si="81"/>
        <v>638</v>
      </c>
      <c r="Q461">
        <f t="shared" ca="1" si="82"/>
        <v>1200</v>
      </c>
      <c r="R461">
        <f t="shared" ca="1" si="83"/>
        <v>-27</v>
      </c>
      <c r="S461">
        <f t="shared" ca="1" si="84"/>
        <v>6184</v>
      </c>
      <c r="T461">
        <f t="shared" ca="1" si="85"/>
        <v>9945</v>
      </c>
      <c r="U461">
        <f t="shared" ca="1" si="86"/>
        <v>415</v>
      </c>
      <c r="V461">
        <v>0</v>
      </c>
      <c r="W461">
        <v>0</v>
      </c>
      <c r="X461">
        <f t="shared" ca="1" si="87"/>
        <v>-224</v>
      </c>
      <c r="Y461">
        <v>0</v>
      </c>
      <c r="Z461">
        <v>222</v>
      </c>
      <c r="AA461">
        <v>6</v>
      </c>
      <c r="AB461" t="s">
        <v>114</v>
      </c>
      <c r="AC461" t="s">
        <v>119</v>
      </c>
      <c r="AD461">
        <v>1</v>
      </c>
      <c r="AE461">
        <v>52</v>
      </c>
      <c r="AF461">
        <v>2257</v>
      </c>
      <c r="AG461" t="s">
        <v>47</v>
      </c>
      <c r="AH461" t="s">
        <v>226</v>
      </c>
      <c r="AI461" t="s">
        <v>227</v>
      </c>
      <c r="AJ461" t="s">
        <v>50</v>
      </c>
      <c r="AK461" t="s">
        <v>51</v>
      </c>
      <c r="AL461">
        <v>3.6726999999999999</v>
      </c>
      <c r="AM461" t="s">
        <v>52</v>
      </c>
      <c r="AN461" t="s">
        <v>246</v>
      </c>
      <c r="AO461" t="s">
        <v>50</v>
      </c>
      <c r="AP461" t="s">
        <v>247</v>
      </c>
      <c r="AQ461" t="s">
        <v>55</v>
      </c>
    </row>
    <row r="462" spans="1:43" x14ac:dyDescent="0.3">
      <c r="A462" t="s">
        <v>43</v>
      </c>
      <c r="B462">
        <v>1999</v>
      </c>
      <c r="C462">
        <v>535</v>
      </c>
      <c r="D462">
        <v>5231</v>
      </c>
      <c r="E462">
        <v>30</v>
      </c>
      <c r="F462">
        <v>202305</v>
      </c>
      <c r="G462">
        <v>3300346</v>
      </c>
      <c r="H462" t="s">
        <v>81</v>
      </c>
      <c r="I462" t="s">
        <v>45</v>
      </c>
      <c r="J462">
        <v>7</v>
      </c>
      <c r="K462">
        <f t="shared" ca="1" si="78"/>
        <v>81</v>
      </c>
      <c r="L462">
        <f t="shared" ca="1" si="79"/>
        <v>78</v>
      </c>
      <c r="M462">
        <f t="shared" ca="1" si="80"/>
        <v>9</v>
      </c>
      <c r="N462">
        <f t="shared" ca="1" si="80"/>
        <v>489</v>
      </c>
      <c r="O462">
        <f t="shared" ca="1" si="77"/>
        <v>887</v>
      </c>
      <c r="P462">
        <f t="shared" ca="1" si="81"/>
        <v>-243</v>
      </c>
      <c r="Q462">
        <f t="shared" ca="1" si="82"/>
        <v>1174</v>
      </c>
      <c r="R462">
        <f t="shared" ca="1" si="83"/>
        <v>454</v>
      </c>
      <c r="S462">
        <f t="shared" ca="1" si="84"/>
        <v>4362</v>
      </c>
      <c r="T462">
        <f t="shared" ca="1" si="85"/>
        <v>6808</v>
      </c>
      <c r="U462">
        <f t="shared" ca="1" si="86"/>
        <v>371</v>
      </c>
      <c r="V462">
        <v>0</v>
      </c>
      <c r="W462">
        <v>0</v>
      </c>
      <c r="X462">
        <f t="shared" ca="1" si="87"/>
        <v>-246</v>
      </c>
      <c r="Y462">
        <v>0</v>
      </c>
      <c r="Z462">
        <v>0</v>
      </c>
      <c r="AA462">
        <v>0</v>
      </c>
      <c r="AB462" t="s">
        <v>91</v>
      </c>
      <c r="AC462" t="s">
        <v>248</v>
      </c>
      <c r="AD462">
        <v>1</v>
      </c>
      <c r="AE462">
        <v>52</v>
      </c>
      <c r="AF462">
        <v>2257</v>
      </c>
      <c r="AG462" t="s">
        <v>47</v>
      </c>
      <c r="AH462" t="s">
        <v>226</v>
      </c>
      <c r="AI462" t="s">
        <v>227</v>
      </c>
      <c r="AJ462" t="s">
        <v>50</v>
      </c>
      <c r="AK462" t="s">
        <v>51</v>
      </c>
      <c r="AL462">
        <v>3.6726999999999999</v>
      </c>
      <c r="AM462" t="s">
        <v>52</v>
      </c>
      <c r="AN462" t="s">
        <v>246</v>
      </c>
      <c r="AO462" t="s">
        <v>50</v>
      </c>
      <c r="AP462" t="s">
        <v>247</v>
      </c>
      <c r="AQ462" t="s">
        <v>55</v>
      </c>
    </row>
    <row r="463" spans="1:43" x14ac:dyDescent="0.3">
      <c r="A463" t="s">
        <v>43</v>
      </c>
      <c r="B463">
        <v>1999</v>
      </c>
      <c r="C463">
        <v>535</v>
      </c>
      <c r="D463">
        <v>5231</v>
      </c>
      <c r="E463">
        <v>30</v>
      </c>
      <c r="F463">
        <v>202305</v>
      </c>
      <c r="G463">
        <v>3300347</v>
      </c>
      <c r="H463" t="s">
        <v>81</v>
      </c>
      <c r="I463" t="s">
        <v>45</v>
      </c>
      <c r="J463">
        <v>7</v>
      </c>
      <c r="K463">
        <f t="shared" ca="1" si="78"/>
        <v>69</v>
      </c>
      <c r="L463">
        <f t="shared" ca="1" si="79"/>
        <v>73</v>
      </c>
      <c r="M463">
        <f t="shared" ca="1" si="80"/>
        <v>421</v>
      </c>
      <c r="N463">
        <f t="shared" ca="1" si="80"/>
        <v>128</v>
      </c>
      <c r="O463">
        <f t="shared" ca="1" si="77"/>
        <v>878</v>
      </c>
      <c r="P463">
        <f t="shared" ca="1" si="81"/>
        <v>1195</v>
      </c>
      <c r="Q463">
        <f t="shared" ca="1" si="82"/>
        <v>1129</v>
      </c>
      <c r="R463">
        <f t="shared" ca="1" si="83"/>
        <v>467</v>
      </c>
      <c r="S463">
        <f t="shared" ca="1" si="84"/>
        <v>11187</v>
      </c>
      <c r="T463">
        <f t="shared" ca="1" si="85"/>
        <v>2619</v>
      </c>
      <c r="U463">
        <f t="shared" ca="1" si="86"/>
        <v>111</v>
      </c>
      <c r="V463">
        <v>0</v>
      </c>
      <c r="W463">
        <v>0</v>
      </c>
      <c r="X463">
        <f t="shared" ca="1" si="87"/>
        <v>-306</v>
      </c>
      <c r="Y463">
        <v>0</v>
      </c>
      <c r="Z463">
        <v>0</v>
      </c>
      <c r="AA463">
        <v>0</v>
      </c>
      <c r="AB463" t="s">
        <v>91</v>
      </c>
      <c r="AC463" t="s">
        <v>92</v>
      </c>
      <c r="AD463">
        <v>1</v>
      </c>
      <c r="AE463">
        <v>52</v>
      </c>
      <c r="AF463">
        <v>2257</v>
      </c>
      <c r="AG463" t="s">
        <v>47</v>
      </c>
      <c r="AH463" t="s">
        <v>226</v>
      </c>
      <c r="AI463" t="s">
        <v>227</v>
      </c>
      <c r="AJ463" t="s">
        <v>50</v>
      </c>
      <c r="AK463" t="s">
        <v>51</v>
      </c>
      <c r="AL463">
        <v>3.6726999999999999</v>
      </c>
      <c r="AM463" t="s">
        <v>52</v>
      </c>
      <c r="AN463" t="s">
        <v>246</v>
      </c>
      <c r="AO463" t="s">
        <v>50</v>
      </c>
      <c r="AP463" t="s">
        <v>247</v>
      </c>
      <c r="AQ463" t="s">
        <v>55</v>
      </c>
    </row>
    <row r="464" spans="1:43" x14ac:dyDescent="0.3">
      <c r="A464" t="s">
        <v>43</v>
      </c>
      <c r="B464">
        <v>1999</v>
      </c>
      <c r="C464">
        <v>535</v>
      </c>
      <c r="D464">
        <v>5231</v>
      </c>
      <c r="E464">
        <v>30</v>
      </c>
      <c r="F464">
        <v>202305</v>
      </c>
      <c r="G464">
        <v>3300351</v>
      </c>
      <c r="H464" t="s">
        <v>81</v>
      </c>
      <c r="I464" t="s">
        <v>45</v>
      </c>
      <c r="J464">
        <v>7</v>
      </c>
      <c r="K464">
        <f t="shared" ca="1" si="78"/>
        <v>18</v>
      </c>
      <c r="L464">
        <f t="shared" ca="1" si="79"/>
        <v>-87</v>
      </c>
      <c r="M464">
        <f t="shared" ca="1" si="80"/>
        <v>199</v>
      </c>
      <c r="N464">
        <f t="shared" ca="1" si="80"/>
        <v>357</v>
      </c>
      <c r="O464">
        <f t="shared" ca="1" si="77"/>
        <v>208</v>
      </c>
      <c r="P464">
        <f t="shared" ca="1" si="81"/>
        <v>1366</v>
      </c>
      <c r="Q464">
        <f t="shared" ca="1" si="82"/>
        <v>169</v>
      </c>
      <c r="R464">
        <f t="shared" ca="1" si="83"/>
        <v>275</v>
      </c>
      <c r="S464">
        <f t="shared" ca="1" si="84"/>
        <v>10177</v>
      </c>
      <c r="T464">
        <f t="shared" ca="1" si="85"/>
        <v>5821</v>
      </c>
      <c r="U464">
        <f t="shared" ca="1" si="86"/>
        <v>-56</v>
      </c>
      <c r="V464">
        <v>0</v>
      </c>
      <c r="W464">
        <v>0</v>
      </c>
      <c r="X464">
        <f t="shared" ca="1" si="87"/>
        <v>-338</v>
      </c>
      <c r="Y464">
        <v>0</v>
      </c>
      <c r="Z464">
        <v>0</v>
      </c>
      <c r="AA464">
        <v>0</v>
      </c>
      <c r="AB464" t="s">
        <v>91</v>
      </c>
      <c r="AC464" t="s">
        <v>121</v>
      </c>
      <c r="AD464">
        <v>1</v>
      </c>
      <c r="AE464">
        <v>52</v>
      </c>
      <c r="AF464">
        <v>2257</v>
      </c>
      <c r="AG464" t="s">
        <v>47</v>
      </c>
      <c r="AH464" t="s">
        <v>226</v>
      </c>
      <c r="AI464" t="s">
        <v>227</v>
      </c>
      <c r="AJ464" t="s">
        <v>50</v>
      </c>
      <c r="AK464" t="s">
        <v>51</v>
      </c>
      <c r="AL464">
        <v>3.6726999999999999</v>
      </c>
      <c r="AM464" t="s">
        <v>52</v>
      </c>
      <c r="AN464" t="s">
        <v>246</v>
      </c>
      <c r="AO464" t="s">
        <v>50</v>
      </c>
      <c r="AP464" t="s">
        <v>247</v>
      </c>
      <c r="AQ464" t="s">
        <v>55</v>
      </c>
    </row>
    <row r="465" spans="1:43" x14ac:dyDescent="0.3">
      <c r="A465" t="s">
        <v>43</v>
      </c>
      <c r="B465">
        <v>1999</v>
      </c>
      <c r="C465">
        <v>535</v>
      </c>
      <c r="D465">
        <v>5311</v>
      </c>
      <c r="E465">
        <v>10</v>
      </c>
      <c r="F465">
        <v>202305</v>
      </c>
      <c r="G465">
        <v>1400131</v>
      </c>
      <c r="H465" t="s">
        <v>160</v>
      </c>
      <c r="I465" t="s">
        <v>45</v>
      </c>
      <c r="J465">
        <v>7</v>
      </c>
      <c r="K465">
        <f t="shared" ca="1" si="78"/>
        <v>88</v>
      </c>
      <c r="L465">
        <f t="shared" ca="1" si="79"/>
        <v>-5</v>
      </c>
      <c r="M465">
        <f t="shared" ca="1" si="80"/>
        <v>-47</v>
      </c>
      <c r="N465">
        <f t="shared" ca="1" si="80"/>
        <v>339</v>
      </c>
      <c r="O465">
        <f t="shared" ca="1" si="77"/>
        <v>493</v>
      </c>
      <c r="P465">
        <f t="shared" ca="1" si="81"/>
        <v>149</v>
      </c>
      <c r="Q465">
        <f t="shared" ca="1" si="82"/>
        <v>1077</v>
      </c>
      <c r="R465">
        <f t="shared" ca="1" si="83"/>
        <v>314</v>
      </c>
      <c r="S465">
        <f t="shared" ca="1" si="84"/>
        <v>2114</v>
      </c>
      <c r="T465">
        <f t="shared" ca="1" si="85"/>
        <v>8003</v>
      </c>
      <c r="U465">
        <f t="shared" ca="1" si="86"/>
        <v>38</v>
      </c>
      <c r="V465">
        <v>0</v>
      </c>
      <c r="W465">
        <v>0</v>
      </c>
      <c r="X465">
        <f t="shared" ca="1" si="87"/>
        <v>-403</v>
      </c>
      <c r="Y465">
        <v>0</v>
      </c>
      <c r="Z465">
        <v>0</v>
      </c>
      <c r="AA465">
        <v>0</v>
      </c>
      <c r="AB465" t="s">
        <v>190</v>
      </c>
      <c r="AC465" t="s">
        <v>192</v>
      </c>
      <c r="AD465">
        <v>1</v>
      </c>
      <c r="AE465">
        <v>52</v>
      </c>
      <c r="AF465">
        <v>2257</v>
      </c>
      <c r="AG465" t="s">
        <v>47</v>
      </c>
      <c r="AH465" t="s">
        <v>226</v>
      </c>
      <c r="AI465" t="s">
        <v>227</v>
      </c>
      <c r="AJ465" t="s">
        <v>50</v>
      </c>
      <c r="AK465" t="s">
        <v>51</v>
      </c>
      <c r="AL465">
        <v>3.6726999999999999</v>
      </c>
      <c r="AM465" t="s">
        <v>52</v>
      </c>
      <c r="AN465" t="s">
        <v>128</v>
      </c>
      <c r="AO465" t="s">
        <v>163</v>
      </c>
      <c r="AP465" t="s">
        <v>130</v>
      </c>
      <c r="AQ465" t="s">
        <v>55</v>
      </c>
    </row>
    <row r="466" spans="1:43" x14ac:dyDescent="0.3">
      <c r="A466" t="s">
        <v>43</v>
      </c>
      <c r="B466">
        <v>1999</v>
      </c>
      <c r="C466">
        <v>535</v>
      </c>
      <c r="D466">
        <v>5311</v>
      </c>
      <c r="E466">
        <v>20</v>
      </c>
      <c r="F466">
        <v>202305</v>
      </c>
      <c r="G466">
        <v>2100201</v>
      </c>
      <c r="H466" t="s">
        <v>125</v>
      </c>
      <c r="I466" t="s">
        <v>45</v>
      </c>
      <c r="J466">
        <v>7</v>
      </c>
      <c r="K466">
        <f t="shared" ca="1" si="78"/>
        <v>11</v>
      </c>
      <c r="L466">
        <f t="shared" ca="1" si="79"/>
        <v>64</v>
      </c>
      <c r="M466">
        <f t="shared" ca="1" si="80"/>
        <v>281</v>
      </c>
      <c r="N466">
        <f t="shared" ca="1" si="80"/>
        <v>466</v>
      </c>
      <c r="O466">
        <f t="shared" ca="1" si="77"/>
        <v>-40</v>
      </c>
      <c r="P466">
        <f t="shared" ca="1" si="81"/>
        <v>1022</v>
      </c>
      <c r="Q466">
        <f t="shared" ca="1" si="82"/>
        <v>523</v>
      </c>
      <c r="R466">
        <f t="shared" ca="1" si="83"/>
        <v>429</v>
      </c>
      <c r="S466">
        <f t="shared" ca="1" si="84"/>
        <v>3034</v>
      </c>
      <c r="T466">
        <f t="shared" ca="1" si="85"/>
        <v>5230</v>
      </c>
      <c r="U466">
        <f t="shared" ca="1" si="86"/>
        <v>832</v>
      </c>
      <c r="V466">
        <v>0</v>
      </c>
      <c r="W466">
        <v>0</v>
      </c>
      <c r="X466">
        <f t="shared" ca="1" si="87"/>
        <v>-60</v>
      </c>
      <c r="Y466">
        <v>0</v>
      </c>
      <c r="Z466">
        <v>0</v>
      </c>
      <c r="AA466">
        <v>0</v>
      </c>
      <c r="AB466" t="s">
        <v>126</v>
      </c>
      <c r="AC466" t="s">
        <v>249</v>
      </c>
      <c r="AD466">
        <v>1</v>
      </c>
      <c r="AE466">
        <v>52</v>
      </c>
      <c r="AF466">
        <v>2257</v>
      </c>
      <c r="AG466" t="s">
        <v>47</v>
      </c>
      <c r="AH466" t="s">
        <v>226</v>
      </c>
      <c r="AI466" t="s">
        <v>227</v>
      </c>
      <c r="AJ466" t="s">
        <v>50</v>
      </c>
      <c r="AK466" t="s">
        <v>51</v>
      </c>
      <c r="AL466">
        <v>3.6726999999999999</v>
      </c>
      <c r="AM466" t="s">
        <v>52</v>
      </c>
      <c r="AN466" t="s">
        <v>128</v>
      </c>
      <c r="AO466" t="s">
        <v>129</v>
      </c>
      <c r="AP466" t="s">
        <v>130</v>
      </c>
      <c r="AQ466" t="s">
        <v>55</v>
      </c>
    </row>
    <row r="467" spans="1:43" x14ac:dyDescent="0.3">
      <c r="A467" t="s">
        <v>43</v>
      </c>
      <c r="B467">
        <v>1999</v>
      </c>
      <c r="C467">
        <v>535</v>
      </c>
      <c r="D467">
        <v>5311</v>
      </c>
      <c r="E467">
        <v>20</v>
      </c>
      <c r="F467">
        <v>202305</v>
      </c>
      <c r="G467">
        <v>2100202</v>
      </c>
      <c r="H467" t="s">
        <v>125</v>
      </c>
      <c r="I467" t="s">
        <v>45</v>
      </c>
      <c r="J467">
        <v>7</v>
      </c>
      <c r="K467">
        <f t="shared" ca="1" si="78"/>
        <v>100</v>
      </c>
      <c r="L467">
        <f t="shared" ca="1" si="79"/>
        <v>43</v>
      </c>
      <c r="M467">
        <f t="shared" ca="1" si="80"/>
        <v>435</v>
      </c>
      <c r="N467">
        <f t="shared" ca="1" si="80"/>
        <v>382</v>
      </c>
      <c r="O467">
        <f t="shared" ca="1" si="77"/>
        <v>734</v>
      </c>
      <c r="P467">
        <f t="shared" ca="1" si="81"/>
        <v>395</v>
      </c>
      <c r="Q467">
        <f t="shared" ca="1" si="82"/>
        <v>547</v>
      </c>
      <c r="R467">
        <f t="shared" ca="1" si="83"/>
        <v>48</v>
      </c>
      <c r="S467">
        <f t="shared" ca="1" si="84"/>
        <v>12149</v>
      </c>
      <c r="T467">
        <f t="shared" ca="1" si="85"/>
        <v>160</v>
      </c>
      <c r="U467">
        <f t="shared" ca="1" si="86"/>
        <v>422</v>
      </c>
      <c r="V467">
        <v>0</v>
      </c>
      <c r="W467">
        <v>0</v>
      </c>
      <c r="X467">
        <f t="shared" ca="1" si="87"/>
        <v>-461</v>
      </c>
      <c r="Y467">
        <v>0</v>
      </c>
      <c r="Z467">
        <v>0</v>
      </c>
      <c r="AA467">
        <v>0</v>
      </c>
      <c r="AB467" t="s">
        <v>126</v>
      </c>
      <c r="AC467" t="s">
        <v>250</v>
      </c>
      <c r="AD467">
        <v>1</v>
      </c>
      <c r="AE467">
        <v>52</v>
      </c>
      <c r="AF467">
        <v>2257</v>
      </c>
      <c r="AG467" t="s">
        <v>47</v>
      </c>
      <c r="AH467" t="s">
        <v>226</v>
      </c>
      <c r="AI467" t="s">
        <v>227</v>
      </c>
      <c r="AJ467" t="s">
        <v>50</v>
      </c>
      <c r="AK467" t="s">
        <v>51</v>
      </c>
      <c r="AL467">
        <v>3.6726999999999999</v>
      </c>
      <c r="AM467" t="s">
        <v>52</v>
      </c>
      <c r="AN467" t="s">
        <v>128</v>
      </c>
      <c r="AO467" t="s">
        <v>129</v>
      </c>
      <c r="AP467" t="s">
        <v>130</v>
      </c>
      <c r="AQ467" t="s">
        <v>55</v>
      </c>
    </row>
    <row r="468" spans="1:43" x14ac:dyDescent="0.3">
      <c r="A468" t="s">
        <v>43</v>
      </c>
      <c r="B468">
        <v>1999</v>
      </c>
      <c r="C468">
        <v>535</v>
      </c>
      <c r="D468">
        <v>5311</v>
      </c>
      <c r="E468">
        <v>20</v>
      </c>
      <c r="F468">
        <v>202305</v>
      </c>
      <c r="G468">
        <v>2100203</v>
      </c>
      <c r="H468" t="s">
        <v>125</v>
      </c>
      <c r="I468" t="s">
        <v>45</v>
      </c>
      <c r="J468">
        <v>7</v>
      </c>
      <c r="K468">
        <f t="shared" ca="1" si="78"/>
        <v>65</v>
      </c>
      <c r="L468">
        <f t="shared" ca="1" si="79"/>
        <v>-5</v>
      </c>
      <c r="M468">
        <f t="shared" ca="1" si="80"/>
        <v>146</v>
      </c>
      <c r="N468">
        <f t="shared" ca="1" si="80"/>
        <v>95</v>
      </c>
      <c r="O468">
        <f t="shared" ca="1" si="77"/>
        <v>516</v>
      </c>
      <c r="P468">
        <f t="shared" ca="1" si="81"/>
        <v>-302</v>
      </c>
      <c r="Q468">
        <f t="shared" ca="1" si="82"/>
        <v>944</v>
      </c>
      <c r="R468">
        <f t="shared" ca="1" si="83"/>
        <v>336</v>
      </c>
      <c r="S468">
        <f t="shared" ca="1" si="84"/>
        <v>1894</v>
      </c>
      <c r="T468">
        <f t="shared" ca="1" si="85"/>
        <v>7910</v>
      </c>
      <c r="U468">
        <f t="shared" ca="1" si="86"/>
        <v>688</v>
      </c>
      <c r="V468">
        <v>0</v>
      </c>
      <c r="W468">
        <v>0</v>
      </c>
      <c r="X468">
        <f t="shared" ca="1" si="87"/>
        <v>-5</v>
      </c>
      <c r="Y468">
        <v>0</v>
      </c>
      <c r="Z468">
        <v>0</v>
      </c>
      <c r="AA468">
        <v>91</v>
      </c>
      <c r="AB468" t="s">
        <v>126</v>
      </c>
      <c r="AC468" t="s">
        <v>127</v>
      </c>
      <c r="AD468">
        <v>1</v>
      </c>
      <c r="AE468">
        <v>52</v>
      </c>
      <c r="AF468">
        <v>2257</v>
      </c>
      <c r="AG468" t="s">
        <v>47</v>
      </c>
      <c r="AH468" t="s">
        <v>226</v>
      </c>
      <c r="AI468" t="s">
        <v>227</v>
      </c>
      <c r="AJ468" t="s">
        <v>50</v>
      </c>
      <c r="AK468" t="s">
        <v>51</v>
      </c>
      <c r="AL468">
        <v>3.6726999999999999</v>
      </c>
      <c r="AM468" t="s">
        <v>52</v>
      </c>
      <c r="AN468" t="s">
        <v>128</v>
      </c>
      <c r="AO468" t="s">
        <v>129</v>
      </c>
      <c r="AP468" t="s">
        <v>130</v>
      </c>
      <c r="AQ468" t="s">
        <v>55</v>
      </c>
    </row>
    <row r="469" spans="1:43" x14ac:dyDescent="0.3">
      <c r="A469" t="s">
        <v>43</v>
      </c>
      <c r="B469">
        <v>1999</v>
      </c>
      <c r="C469">
        <v>535</v>
      </c>
      <c r="D469">
        <v>5311</v>
      </c>
      <c r="E469">
        <v>20</v>
      </c>
      <c r="F469">
        <v>202305</v>
      </c>
      <c r="G469">
        <v>2100204</v>
      </c>
      <c r="H469" t="s">
        <v>125</v>
      </c>
      <c r="I469" t="s">
        <v>45</v>
      </c>
      <c r="J469">
        <v>7</v>
      </c>
      <c r="K469">
        <f t="shared" ca="1" si="78"/>
        <v>26</v>
      </c>
      <c r="L469">
        <f t="shared" ca="1" si="79"/>
        <v>-79</v>
      </c>
      <c r="M469">
        <f t="shared" ca="1" si="80"/>
        <v>327</v>
      </c>
      <c r="N469">
        <f t="shared" ca="1" si="80"/>
        <v>262</v>
      </c>
      <c r="O469">
        <f t="shared" ca="1" si="77"/>
        <v>989</v>
      </c>
      <c r="P469">
        <f t="shared" ca="1" si="81"/>
        <v>612</v>
      </c>
      <c r="Q469">
        <f t="shared" ca="1" si="82"/>
        <v>560</v>
      </c>
      <c r="R469">
        <f t="shared" ca="1" si="83"/>
        <v>422</v>
      </c>
      <c r="S469">
        <f t="shared" ca="1" si="84"/>
        <v>4233</v>
      </c>
      <c r="T469">
        <f t="shared" ca="1" si="85"/>
        <v>2590</v>
      </c>
      <c r="U469">
        <f t="shared" ca="1" si="86"/>
        <v>802</v>
      </c>
      <c r="V469">
        <v>0</v>
      </c>
      <c r="W469">
        <v>0</v>
      </c>
      <c r="X469">
        <f t="shared" ca="1" si="87"/>
        <v>-6</v>
      </c>
      <c r="Y469">
        <v>0</v>
      </c>
      <c r="Z469">
        <v>0</v>
      </c>
      <c r="AA469">
        <v>0</v>
      </c>
      <c r="AB469" t="s">
        <v>126</v>
      </c>
      <c r="AC469" t="s">
        <v>251</v>
      </c>
      <c r="AD469">
        <v>1</v>
      </c>
      <c r="AE469">
        <v>52</v>
      </c>
      <c r="AF469">
        <v>2257</v>
      </c>
      <c r="AG469" t="s">
        <v>47</v>
      </c>
      <c r="AH469" t="s">
        <v>226</v>
      </c>
      <c r="AI469" t="s">
        <v>227</v>
      </c>
      <c r="AJ469" t="s">
        <v>50</v>
      </c>
      <c r="AK469" t="s">
        <v>51</v>
      </c>
      <c r="AL469">
        <v>3.6726999999999999</v>
      </c>
      <c r="AM469" t="s">
        <v>52</v>
      </c>
      <c r="AN469" t="s">
        <v>128</v>
      </c>
      <c r="AO469" t="s">
        <v>129</v>
      </c>
      <c r="AP469" t="s">
        <v>130</v>
      </c>
      <c r="AQ469" t="s">
        <v>55</v>
      </c>
    </row>
    <row r="470" spans="1:43" x14ac:dyDescent="0.3">
      <c r="A470" t="s">
        <v>43</v>
      </c>
      <c r="B470">
        <v>1999</v>
      </c>
      <c r="C470">
        <v>535</v>
      </c>
      <c r="D470">
        <v>5311</v>
      </c>
      <c r="E470">
        <v>20</v>
      </c>
      <c r="F470">
        <v>202305</v>
      </c>
      <c r="G470">
        <v>2100206</v>
      </c>
      <c r="H470" t="s">
        <v>125</v>
      </c>
      <c r="I470" t="s">
        <v>45</v>
      </c>
      <c r="J470">
        <v>7</v>
      </c>
      <c r="K470">
        <f t="shared" ca="1" si="78"/>
        <v>36</v>
      </c>
      <c r="L470">
        <f t="shared" ca="1" si="79"/>
        <v>-77</v>
      </c>
      <c r="M470">
        <f t="shared" ca="1" si="80"/>
        <v>18</v>
      </c>
      <c r="N470">
        <f t="shared" ca="1" si="80"/>
        <v>354</v>
      </c>
      <c r="O470">
        <f t="shared" ca="1" si="77"/>
        <v>225</v>
      </c>
      <c r="P470">
        <f t="shared" ca="1" si="81"/>
        <v>594</v>
      </c>
      <c r="Q470">
        <f t="shared" ca="1" si="82"/>
        <v>1056</v>
      </c>
      <c r="R470">
        <f t="shared" ca="1" si="83"/>
        <v>-3</v>
      </c>
      <c r="S470">
        <f t="shared" ca="1" si="84"/>
        <v>2506</v>
      </c>
      <c r="T470">
        <f t="shared" ca="1" si="85"/>
        <v>9888</v>
      </c>
      <c r="U470">
        <f t="shared" ca="1" si="86"/>
        <v>472</v>
      </c>
      <c r="V470">
        <v>0</v>
      </c>
      <c r="W470">
        <v>0</v>
      </c>
      <c r="X470">
        <f t="shared" ca="1" si="87"/>
        <v>24</v>
      </c>
      <c r="Y470">
        <v>0</v>
      </c>
      <c r="Z470">
        <v>0</v>
      </c>
      <c r="AA470">
        <v>32</v>
      </c>
      <c r="AB470" t="s">
        <v>126</v>
      </c>
      <c r="AC470" t="s">
        <v>131</v>
      </c>
      <c r="AD470">
        <v>1</v>
      </c>
      <c r="AE470">
        <v>52</v>
      </c>
      <c r="AF470">
        <v>2257</v>
      </c>
      <c r="AG470" t="s">
        <v>47</v>
      </c>
      <c r="AH470" t="s">
        <v>226</v>
      </c>
      <c r="AI470" t="s">
        <v>227</v>
      </c>
      <c r="AJ470" t="s">
        <v>50</v>
      </c>
      <c r="AK470" t="s">
        <v>51</v>
      </c>
      <c r="AL470">
        <v>3.6726999999999999</v>
      </c>
      <c r="AM470" t="s">
        <v>52</v>
      </c>
      <c r="AN470" t="s">
        <v>128</v>
      </c>
      <c r="AO470" t="s">
        <v>129</v>
      </c>
      <c r="AP470" t="s">
        <v>130</v>
      </c>
      <c r="AQ470" t="s">
        <v>55</v>
      </c>
    </row>
    <row r="471" spans="1:43" x14ac:dyDescent="0.3">
      <c r="A471" t="s">
        <v>43</v>
      </c>
      <c r="B471">
        <v>1999</v>
      </c>
      <c r="C471">
        <v>535</v>
      </c>
      <c r="D471">
        <v>5311</v>
      </c>
      <c r="E471">
        <v>20</v>
      </c>
      <c r="F471">
        <v>202305</v>
      </c>
      <c r="G471">
        <v>2100210</v>
      </c>
      <c r="H471" t="s">
        <v>125</v>
      </c>
      <c r="I471" t="s">
        <v>45</v>
      </c>
      <c r="J471">
        <v>7</v>
      </c>
      <c r="K471">
        <f t="shared" ca="1" si="78"/>
        <v>97</v>
      </c>
      <c r="L471">
        <f t="shared" ca="1" si="79"/>
        <v>-60</v>
      </c>
      <c r="M471">
        <f t="shared" ca="1" si="80"/>
        <v>421</v>
      </c>
      <c r="N471">
        <f t="shared" ca="1" si="80"/>
        <v>-3</v>
      </c>
      <c r="O471">
        <f t="shared" ca="1" si="77"/>
        <v>-60</v>
      </c>
      <c r="P471">
        <f t="shared" ca="1" si="81"/>
        <v>1151</v>
      </c>
      <c r="Q471">
        <f t="shared" ca="1" si="82"/>
        <v>1079</v>
      </c>
      <c r="R471">
        <f t="shared" ca="1" si="83"/>
        <v>299</v>
      </c>
      <c r="S471">
        <f t="shared" ca="1" si="84"/>
        <v>9605</v>
      </c>
      <c r="T471">
        <f t="shared" ca="1" si="85"/>
        <v>3732</v>
      </c>
      <c r="U471">
        <f t="shared" ca="1" si="86"/>
        <v>1004</v>
      </c>
      <c r="V471">
        <v>0</v>
      </c>
      <c r="W471">
        <v>0</v>
      </c>
      <c r="X471">
        <f t="shared" ca="1" si="87"/>
        <v>-400</v>
      </c>
      <c r="Y471">
        <v>0</v>
      </c>
      <c r="Z471">
        <v>0</v>
      </c>
      <c r="AA471">
        <v>0</v>
      </c>
      <c r="AB471" t="s">
        <v>126</v>
      </c>
      <c r="AC471" t="s">
        <v>252</v>
      </c>
      <c r="AD471">
        <v>1</v>
      </c>
      <c r="AE471">
        <v>52</v>
      </c>
      <c r="AF471">
        <v>2257</v>
      </c>
      <c r="AG471" t="s">
        <v>47</v>
      </c>
      <c r="AH471" t="s">
        <v>226</v>
      </c>
      <c r="AI471" t="s">
        <v>227</v>
      </c>
      <c r="AJ471" t="s">
        <v>50</v>
      </c>
      <c r="AK471" t="s">
        <v>51</v>
      </c>
      <c r="AL471">
        <v>3.6726999999999999</v>
      </c>
      <c r="AM471" t="s">
        <v>52</v>
      </c>
      <c r="AN471" t="s">
        <v>128</v>
      </c>
      <c r="AO471" t="s">
        <v>129</v>
      </c>
      <c r="AP471" t="s">
        <v>130</v>
      </c>
      <c r="AQ471" t="s">
        <v>55</v>
      </c>
    </row>
    <row r="472" spans="1:43" x14ac:dyDescent="0.3">
      <c r="A472" t="s">
        <v>43</v>
      </c>
      <c r="B472">
        <v>1999</v>
      </c>
      <c r="C472">
        <v>535</v>
      </c>
      <c r="D472">
        <v>5311</v>
      </c>
      <c r="E472">
        <v>20</v>
      </c>
      <c r="F472">
        <v>202305</v>
      </c>
      <c r="G472">
        <v>2300215</v>
      </c>
      <c r="H472" t="s">
        <v>125</v>
      </c>
      <c r="I472" t="s">
        <v>45</v>
      </c>
      <c r="J472">
        <v>7</v>
      </c>
      <c r="K472">
        <f t="shared" ca="1" si="78"/>
        <v>36</v>
      </c>
      <c r="L472">
        <f t="shared" ca="1" si="79"/>
        <v>-6</v>
      </c>
      <c r="M472">
        <f t="shared" ca="1" si="80"/>
        <v>3</v>
      </c>
      <c r="N472">
        <f t="shared" ca="1" si="80"/>
        <v>58</v>
      </c>
      <c r="O472">
        <f t="shared" ca="1" si="77"/>
        <v>-23</v>
      </c>
      <c r="P472">
        <f t="shared" ca="1" si="81"/>
        <v>284</v>
      </c>
      <c r="Q472">
        <f t="shared" ca="1" si="82"/>
        <v>285</v>
      </c>
      <c r="R472">
        <f t="shared" ca="1" si="83"/>
        <v>-71</v>
      </c>
      <c r="S472">
        <f t="shared" ca="1" si="84"/>
        <v>8986</v>
      </c>
      <c r="T472">
        <f t="shared" ca="1" si="85"/>
        <v>6902</v>
      </c>
      <c r="U472">
        <f t="shared" ca="1" si="86"/>
        <v>627</v>
      </c>
      <c r="V472">
        <v>0</v>
      </c>
      <c r="W472">
        <v>0</v>
      </c>
      <c r="X472">
        <f t="shared" ca="1" si="87"/>
        <v>-407</v>
      </c>
      <c r="Y472">
        <v>0</v>
      </c>
      <c r="Z472">
        <v>0</v>
      </c>
      <c r="AA472">
        <v>6</v>
      </c>
      <c r="AB472" t="s">
        <v>132</v>
      </c>
      <c r="AC472" t="s">
        <v>133</v>
      </c>
      <c r="AD472">
        <v>1</v>
      </c>
      <c r="AE472">
        <v>52</v>
      </c>
      <c r="AF472">
        <v>2257</v>
      </c>
      <c r="AG472" t="s">
        <v>47</v>
      </c>
      <c r="AH472" t="s">
        <v>226</v>
      </c>
      <c r="AI472" t="s">
        <v>227</v>
      </c>
      <c r="AJ472" t="s">
        <v>50</v>
      </c>
      <c r="AK472" t="s">
        <v>51</v>
      </c>
      <c r="AL472">
        <v>3.6726999999999999</v>
      </c>
      <c r="AM472" t="s">
        <v>52</v>
      </c>
      <c r="AN472" t="s">
        <v>128</v>
      </c>
      <c r="AO472" t="s">
        <v>129</v>
      </c>
      <c r="AP472" t="s">
        <v>130</v>
      </c>
      <c r="AQ472" t="s">
        <v>55</v>
      </c>
    </row>
    <row r="473" spans="1:43" x14ac:dyDescent="0.3">
      <c r="A473" t="s">
        <v>43</v>
      </c>
      <c r="B473">
        <v>1999</v>
      </c>
      <c r="C473">
        <v>535</v>
      </c>
      <c r="D473">
        <v>5311</v>
      </c>
      <c r="E473">
        <v>20</v>
      </c>
      <c r="F473">
        <v>202305</v>
      </c>
      <c r="G473">
        <v>2300217</v>
      </c>
      <c r="H473" t="s">
        <v>125</v>
      </c>
      <c r="I473" t="s">
        <v>45</v>
      </c>
      <c r="J473">
        <v>7</v>
      </c>
      <c r="K473">
        <f t="shared" ca="1" si="78"/>
        <v>59</v>
      </c>
      <c r="L473">
        <f t="shared" ca="1" si="79"/>
        <v>21</v>
      </c>
      <c r="M473">
        <f t="shared" ca="1" si="80"/>
        <v>191</v>
      </c>
      <c r="N473">
        <f t="shared" ca="1" si="80"/>
        <v>87</v>
      </c>
      <c r="O473">
        <f t="shared" ca="1" si="77"/>
        <v>255</v>
      </c>
      <c r="P473">
        <f t="shared" ca="1" si="81"/>
        <v>1199</v>
      </c>
      <c r="Q473">
        <f t="shared" ca="1" si="82"/>
        <v>1107</v>
      </c>
      <c r="R473">
        <f t="shared" ca="1" si="83"/>
        <v>288</v>
      </c>
      <c r="S473">
        <f t="shared" ca="1" si="84"/>
        <v>2096</v>
      </c>
      <c r="T473">
        <f t="shared" ca="1" si="85"/>
        <v>6038</v>
      </c>
      <c r="U473">
        <f t="shared" ca="1" si="86"/>
        <v>1093</v>
      </c>
      <c r="V473">
        <v>0</v>
      </c>
      <c r="W473">
        <v>0</v>
      </c>
      <c r="X473">
        <f t="shared" ca="1" si="87"/>
        <v>-302</v>
      </c>
      <c r="Y473">
        <v>0</v>
      </c>
      <c r="Z473">
        <v>0</v>
      </c>
      <c r="AA473">
        <v>0</v>
      </c>
      <c r="AB473" t="s">
        <v>132</v>
      </c>
      <c r="AC473" t="s">
        <v>134</v>
      </c>
      <c r="AD473">
        <v>1</v>
      </c>
      <c r="AE473">
        <v>52</v>
      </c>
      <c r="AF473">
        <v>2257</v>
      </c>
      <c r="AG473" t="s">
        <v>47</v>
      </c>
      <c r="AH473" t="s">
        <v>226</v>
      </c>
      <c r="AI473" t="s">
        <v>227</v>
      </c>
      <c r="AJ473" t="s">
        <v>50</v>
      </c>
      <c r="AK473" t="s">
        <v>51</v>
      </c>
      <c r="AL473">
        <v>3.6726999999999999</v>
      </c>
      <c r="AM473" t="s">
        <v>52</v>
      </c>
      <c r="AN473" t="s">
        <v>128</v>
      </c>
      <c r="AO473" t="s">
        <v>129</v>
      </c>
      <c r="AP473" t="s">
        <v>130</v>
      </c>
      <c r="AQ473" t="s">
        <v>55</v>
      </c>
    </row>
    <row r="474" spans="1:43" x14ac:dyDescent="0.3">
      <c r="A474" t="s">
        <v>43</v>
      </c>
      <c r="B474">
        <v>1999</v>
      </c>
      <c r="C474">
        <v>535</v>
      </c>
      <c r="D474">
        <v>5311</v>
      </c>
      <c r="E474">
        <v>20</v>
      </c>
      <c r="F474">
        <v>202305</v>
      </c>
      <c r="G474">
        <v>2300222</v>
      </c>
      <c r="H474" t="s">
        <v>125</v>
      </c>
      <c r="I474" t="s">
        <v>45</v>
      </c>
      <c r="J474">
        <v>7</v>
      </c>
      <c r="K474">
        <f t="shared" ca="1" si="78"/>
        <v>94</v>
      </c>
      <c r="L474">
        <f t="shared" ca="1" si="79"/>
        <v>89</v>
      </c>
      <c r="M474">
        <f t="shared" ca="1" si="80"/>
        <v>72</v>
      </c>
      <c r="N474">
        <f t="shared" ca="1" si="80"/>
        <v>404</v>
      </c>
      <c r="O474">
        <f t="shared" ca="1" si="77"/>
        <v>926</v>
      </c>
      <c r="P474">
        <f t="shared" ca="1" si="81"/>
        <v>195</v>
      </c>
      <c r="Q474">
        <f t="shared" ca="1" si="82"/>
        <v>570</v>
      </c>
      <c r="R474">
        <f t="shared" ca="1" si="83"/>
        <v>352</v>
      </c>
      <c r="S474">
        <f t="shared" ca="1" si="84"/>
        <v>13306</v>
      </c>
      <c r="T474">
        <f t="shared" ca="1" si="85"/>
        <v>9183</v>
      </c>
      <c r="U474">
        <f t="shared" ca="1" si="86"/>
        <v>-73</v>
      </c>
      <c r="V474">
        <v>0</v>
      </c>
      <c r="W474">
        <v>0</v>
      </c>
      <c r="X474">
        <f t="shared" ca="1" si="87"/>
        <v>-354</v>
      </c>
      <c r="Y474">
        <v>0</v>
      </c>
      <c r="Z474">
        <v>0</v>
      </c>
      <c r="AA474">
        <v>14</v>
      </c>
      <c r="AB474" t="s">
        <v>132</v>
      </c>
      <c r="AC474" t="s">
        <v>135</v>
      </c>
      <c r="AD474">
        <v>1</v>
      </c>
      <c r="AE474">
        <v>52</v>
      </c>
      <c r="AF474">
        <v>2257</v>
      </c>
      <c r="AG474" t="s">
        <v>47</v>
      </c>
      <c r="AH474" t="s">
        <v>226</v>
      </c>
      <c r="AI474" t="s">
        <v>227</v>
      </c>
      <c r="AJ474" t="s">
        <v>50</v>
      </c>
      <c r="AK474" t="s">
        <v>51</v>
      </c>
      <c r="AL474">
        <v>3.6726999999999999</v>
      </c>
      <c r="AM474" t="s">
        <v>52</v>
      </c>
      <c r="AN474" t="s">
        <v>128</v>
      </c>
      <c r="AO474" t="s">
        <v>129</v>
      </c>
      <c r="AP474" t="s">
        <v>130</v>
      </c>
      <c r="AQ474" t="s">
        <v>55</v>
      </c>
    </row>
    <row r="475" spans="1:43" x14ac:dyDescent="0.3">
      <c r="A475" t="s">
        <v>43</v>
      </c>
      <c r="B475">
        <v>1999</v>
      </c>
      <c r="C475">
        <v>535</v>
      </c>
      <c r="D475">
        <v>5311</v>
      </c>
      <c r="E475">
        <v>20</v>
      </c>
      <c r="F475">
        <v>202305</v>
      </c>
      <c r="G475">
        <v>2400220</v>
      </c>
      <c r="H475" t="s">
        <v>125</v>
      </c>
      <c r="I475" t="s">
        <v>45</v>
      </c>
      <c r="J475">
        <v>7</v>
      </c>
      <c r="K475">
        <f t="shared" ca="1" si="78"/>
        <v>84</v>
      </c>
      <c r="L475">
        <f t="shared" ca="1" si="79"/>
        <v>-66</v>
      </c>
      <c r="M475">
        <f t="shared" ca="1" si="80"/>
        <v>384</v>
      </c>
      <c r="N475">
        <f t="shared" ca="1" si="80"/>
        <v>418</v>
      </c>
      <c r="O475">
        <f t="shared" ca="1" si="77"/>
        <v>857</v>
      </c>
      <c r="P475">
        <f t="shared" ca="1" si="81"/>
        <v>1366</v>
      </c>
      <c r="Q475">
        <f t="shared" ca="1" si="82"/>
        <v>351</v>
      </c>
      <c r="R475">
        <f t="shared" ca="1" si="83"/>
        <v>-18</v>
      </c>
      <c r="S475">
        <f t="shared" ca="1" si="84"/>
        <v>9589</v>
      </c>
      <c r="T475">
        <f t="shared" ca="1" si="85"/>
        <v>3249</v>
      </c>
      <c r="U475">
        <f t="shared" ca="1" si="86"/>
        <v>511</v>
      </c>
      <c r="V475">
        <v>0</v>
      </c>
      <c r="W475">
        <v>0</v>
      </c>
      <c r="X475">
        <f t="shared" ca="1" si="87"/>
        <v>83</v>
      </c>
      <c r="Y475">
        <v>0</v>
      </c>
      <c r="Z475">
        <v>0</v>
      </c>
      <c r="AA475">
        <v>0</v>
      </c>
      <c r="AB475" t="s">
        <v>253</v>
      </c>
      <c r="AC475" t="s">
        <v>141</v>
      </c>
      <c r="AD475">
        <v>1</v>
      </c>
      <c r="AE475">
        <v>52</v>
      </c>
      <c r="AF475">
        <v>2257</v>
      </c>
      <c r="AG475" t="s">
        <v>47</v>
      </c>
      <c r="AH475" t="s">
        <v>226</v>
      </c>
      <c r="AI475" t="s">
        <v>227</v>
      </c>
      <c r="AJ475" t="s">
        <v>50</v>
      </c>
      <c r="AK475" t="s">
        <v>51</v>
      </c>
      <c r="AL475">
        <v>3.6726999999999999</v>
      </c>
      <c r="AM475" t="s">
        <v>52</v>
      </c>
      <c r="AN475" t="s">
        <v>128</v>
      </c>
      <c r="AO475" t="s">
        <v>129</v>
      </c>
      <c r="AP475" t="s">
        <v>130</v>
      </c>
      <c r="AQ475" t="s">
        <v>55</v>
      </c>
    </row>
    <row r="476" spans="1:43" x14ac:dyDescent="0.3">
      <c r="A476" t="s">
        <v>43</v>
      </c>
      <c r="B476">
        <v>1999</v>
      </c>
      <c r="C476">
        <v>535</v>
      </c>
      <c r="D476">
        <v>5311</v>
      </c>
      <c r="E476">
        <v>20</v>
      </c>
      <c r="F476">
        <v>202305</v>
      </c>
      <c r="G476">
        <v>2400221</v>
      </c>
      <c r="H476" t="s">
        <v>125</v>
      </c>
      <c r="I476" t="s">
        <v>45</v>
      </c>
      <c r="J476">
        <v>7</v>
      </c>
      <c r="K476">
        <f t="shared" ca="1" si="78"/>
        <v>23</v>
      </c>
      <c r="L476">
        <f t="shared" ca="1" si="79"/>
        <v>-18</v>
      </c>
      <c r="M476">
        <f t="shared" ca="1" si="80"/>
        <v>148</v>
      </c>
      <c r="N476">
        <f t="shared" ca="1" si="80"/>
        <v>-53</v>
      </c>
      <c r="O476">
        <f t="shared" ca="1" si="77"/>
        <v>14</v>
      </c>
      <c r="P476">
        <f t="shared" ca="1" si="81"/>
        <v>797</v>
      </c>
      <c r="Q476">
        <f t="shared" ca="1" si="82"/>
        <v>887</v>
      </c>
      <c r="R476">
        <f t="shared" ca="1" si="83"/>
        <v>276</v>
      </c>
      <c r="S476">
        <f t="shared" ca="1" si="84"/>
        <v>11593</v>
      </c>
      <c r="T476">
        <f t="shared" ca="1" si="85"/>
        <v>3219</v>
      </c>
      <c r="U476">
        <f t="shared" ca="1" si="86"/>
        <v>-20</v>
      </c>
      <c r="V476">
        <v>0</v>
      </c>
      <c r="W476">
        <v>0</v>
      </c>
      <c r="X476">
        <f t="shared" ca="1" si="87"/>
        <v>-316</v>
      </c>
      <c r="Y476">
        <v>0</v>
      </c>
      <c r="Z476">
        <v>0</v>
      </c>
      <c r="AA476">
        <v>25</v>
      </c>
      <c r="AB476" t="s">
        <v>253</v>
      </c>
      <c r="AC476" t="s">
        <v>254</v>
      </c>
      <c r="AD476">
        <v>1</v>
      </c>
      <c r="AE476">
        <v>52</v>
      </c>
      <c r="AF476">
        <v>2257</v>
      </c>
      <c r="AG476" t="s">
        <v>47</v>
      </c>
      <c r="AH476" t="s">
        <v>226</v>
      </c>
      <c r="AI476" t="s">
        <v>227</v>
      </c>
      <c r="AJ476" t="s">
        <v>50</v>
      </c>
      <c r="AK476" t="s">
        <v>51</v>
      </c>
      <c r="AL476">
        <v>3.6726999999999999</v>
      </c>
      <c r="AM476" t="s">
        <v>52</v>
      </c>
      <c r="AN476" t="s">
        <v>128</v>
      </c>
      <c r="AO476" t="s">
        <v>129</v>
      </c>
      <c r="AP476" t="s">
        <v>130</v>
      </c>
      <c r="AQ476" t="s">
        <v>55</v>
      </c>
    </row>
    <row r="477" spans="1:43" x14ac:dyDescent="0.3">
      <c r="A477" t="s">
        <v>43</v>
      </c>
      <c r="B477">
        <v>1999</v>
      </c>
      <c r="C477">
        <v>535</v>
      </c>
      <c r="D477">
        <v>5311</v>
      </c>
      <c r="E477">
        <v>20</v>
      </c>
      <c r="F477">
        <v>202305</v>
      </c>
      <c r="G477">
        <v>2400226</v>
      </c>
      <c r="H477" t="s">
        <v>125</v>
      </c>
      <c r="I477" t="s">
        <v>45</v>
      </c>
      <c r="J477">
        <v>7</v>
      </c>
      <c r="K477">
        <f t="shared" ca="1" si="78"/>
        <v>26</v>
      </c>
      <c r="L477">
        <f t="shared" ca="1" si="79"/>
        <v>97</v>
      </c>
      <c r="M477">
        <f t="shared" ca="1" si="80"/>
        <v>73</v>
      </c>
      <c r="N477">
        <f t="shared" ca="1" si="80"/>
        <v>101</v>
      </c>
      <c r="O477">
        <f t="shared" ca="1" si="77"/>
        <v>1000</v>
      </c>
      <c r="P477">
        <f t="shared" ca="1" si="81"/>
        <v>1469</v>
      </c>
      <c r="Q477">
        <f t="shared" ca="1" si="82"/>
        <v>210</v>
      </c>
      <c r="R477">
        <f t="shared" ca="1" si="83"/>
        <v>-91</v>
      </c>
      <c r="S477">
        <f t="shared" ca="1" si="84"/>
        <v>6958</v>
      </c>
      <c r="T477">
        <f t="shared" ca="1" si="85"/>
        <v>5463</v>
      </c>
      <c r="U477">
        <f t="shared" ca="1" si="86"/>
        <v>74</v>
      </c>
      <c r="V477">
        <v>0</v>
      </c>
      <c r="W477">
        <v>0</v>
      </c>
      <c r="X477">
        <f t="shared" ca="1" si="87"/>
        <v>-326</v>
      </c>
      <c r="Y477">
        <v>0</v>
      </c>
      <c r="Z477">
        <v>0</v>
      </c>
      <c r="AA477">
        <v>100</v>
      </c>
      <c r="AB477" t="s">
        <v>253</v>
      </c>
      <c r="AC477" t="s">
        <v>255</v>
      </c>
      <c r="AD477">
        <v>1</v>
      </c>
      <c r="AE477">
        <v>52</v>
      </c>
      <c r="AF477">
        <v>2257</v>
      </c>
      <c r="AG477" t="s">
        <v>47</v>
      </c>
      <c r="AH477" t="s">
        <v>226</v>
      </c>
      <c r="AI477" t="s">
        <v>227</v>
      </c>
      <c r="AJ477" t="s">
        <v>50</v>
      </c>
      <c r="AK477" t="s">
        <v>51</v>
      </c>
      <c r="AL477">
        <v>3.6726999999999999</v>
      </c>
      <c r="AM477" t="s">
        <v>52</v>
      </c>
      <c r="AN477" t="s">
        <v>128</v>
      </c>
      <c r="AO477" t="s">
        <v>129</v>
      </c>
      <c r="AP477" t="s">
        <v>130</v>
      </c>
      <c r="AQ477" t="s">
        <v>55</v>
      </c>
    </row>
    <row r="478" spans="1:43" x14ac:dyDescent="0.3">
      <c r="A478" t="s">
        <v>43</v>
      </c>
      <c r="B478">
        <v>1999</v>
      </c>
      <c r="C478">
        <v>535</v>
      </c>
      <c r="D478">
        <v>5311</v>
      </c>
      <c r="E478">
        <v>20</v>
      </c>
      <c r="F478">
        <v>202305</v>
      </c>
      <c r="G478">
        <v>2400231</v>
      </c>
      <c r="H478" t="s">
        <v>125</v>
      </c>
      <c r="I478" t="s">
        <v>45</v>
      </c>
      <c r="J478">
        <v>7</v>
      </c>
      <c r="K478">
        <f t="shared" ca="1" si="78"/>
        <v>93</v>
      </c>
      <c r="L478">
        <f t="shared" ca="1" si="79"/>
        <v>61</v>
      </c>
      <c r="M478">
        <f t="shared" ca="1" si="80"/>
        <v>437</v>
      </c>
      <c r="N478">
        <f t="shared" ca="1" si="80"/>
        <v>-52</v>
      </c>
      <c r="O478">
        <f t="shared" ca="1" si="77"/>
        <v>344</v>
      </c>
      <c r="P478">
        <f t="shared" ca="1" si="81"/>
        <v>1401</v>
      </c>
      <c r="Q478">
        <f t="shared" ca="1" si="82"/>
        <v>790</v>
      </c>
      <c r="R478">
        <f t="shared" ca="1" si="83"/>
        <v>457</v>
      </c>
      <c r="S478">
        <f t="shared" ca="1" si="84"/>
        <v>3733</v>
      </c>
      <c r="T478">
        <f t="shared" ca="1" si="85"/>
        <v>183</v>
      </c>
      <c r="U478">
        <f t="shared" ca="1" si="86"/>
        <v>55</v>
      </c>
      <c r="V478">
        <v>0</v>
      </c>
      <c r="W478">
        <v>0</v>
      </c>
      <c r="X478">
        <f t="shared" ca="1" si="87"/>
        <v>-341</v>
      </c>
      <c r="Y478">
        <v>0</v>
      </c>
      <c r="Z478">
        <v>0</v>
      </c>
      <c r="AA478">
        <v>45</v>
      </c>
      <c r="AB478" t="s">
        <v>253</v>
      </c>
      <c r="AC478" t="s">
        <v>256</v>
      </c>
      <c r="AD478">
        <v>1</v>
      </c>
      <c r="AE478">
        <v>52</v>
      </c>
      <c r="AF478">
        <v>2257</v>
      </c>
      <c r="AG478" t="s">
        <v>47</v>
      </c>
      <c r="AH478" t="s">
        <v>226</v>
      </c>
      <c r="AI478" t="s">
        <v>227</v>
      </c>
      <c r="AJ478" t="s">
        <v>50</v>
      </c>
      <c r="AK478" t="s">
        <v>51</v>
      </c>
      <c r="AL478">
        <v>3.6726999999999999</v>
      </c>
      <c r="AM478" t="s">
        <v>52</v>
      </c>
      <c r="AN478" t="s">
        <v>128</v>
      </c>
      <c r="AO478" t="s">
        <v>129</v>
      </c>
      <c r="AP478" t="s">
        <v>130</v>
      </c>
      <c r="AQ478" t="s">
        <v>55</v>
      </c>
    </row>
    <row r="479" spans="1:43" x14ac:dyDescent="0.3">
      <c r="A479" t="s">
        <v>43</v>
      </c>
      <c r="B479">
        <v>1999</v>
      </c>
      <c r="C479">
        <v>535</v>
      </c>
      <c r="D479">
        <v>5311</v>
      </c>
      <c r="E479">
        <v>20</v>
      </c>
      <c r="F479">
        <v>202305</v>
      </c>
      <c r="G479">
        <v>2600222</v>
      </c>
      <c r="H479" t="s">
        <v>125</v>
      </c>
      <c r="I479" t="s">
        <v>45</v>
      </c>
      <c r="J479">
        <v>7</v>
      </c>
      <c r="K479">
        <f t="shared" ca="1" si="78"/>
        <v>96</v>
      </c>
      <c r="L479">
        <f t="shared" ca="1" si="79"/>
        <v>-32</v>
      </c>
      <c r="M479">
        <f t="shared" ca="1" si="80"/>
        <v>193</v>
      </c>
      <c r="N479">
        <f t="shared" ca="1" si="80"/>
        <v>60</v>
      </c>
      <c r="O479">
        <f t="shared" ca="1" si="77"/>
        <v>612</v>
      </c>
      <c r="P479">
        <f t="shared" ca="1" si="81"/>
        <v>-285</v>
      </c>
      <c r="Q479">
        <f t="shared" ca="1" si="82"/>
        <v>1019</v>
      </c>
      <c r="R479">
        <f t="shared" ca="1" si="83"/>
        <v>188</v>
      </c>
      <c r="S479">
        <f t="shared" ca="1" si="84"/>
        <v>3009</v>
      </c>
      <c r="T479">
        <f t="shared" ca="1" si="85"/>
        <v>2885</v>
      </c>
      <c r="U479">
        <f t="shared" ca="1" si="86"/>
        <v>1005</v>
      </c>
      <c r="V479">
        <v>0</v>
      </c>
      <c r="W479">
        <v>0</v>
      </c>
      <c r="X479">
        <f t="shared" ca="1" si="87"/>
        <v>-419</v>
      </c>
      <c r="Y479">
        <v>0</v>
      </c>
      <c r="Z479">
        <v>0</v>
      </c>
      <c r="AA479">
        <v>100</v>
      </c>
      <c r="AB479" t="s">
        <v>257</v>
      </c>
      <c r="AC479" t="s">
        <v>135</v>
      </c>
      <c r="AD479">
        <v>1</v>
      </c>
      <c r="AE479">
        <v>52</v>
      </c>
      <c r="AF479">
        <v>2257</v>
      </c>
      <c r="AG479" t="s">
        <v>47</v>
      </c>
      <c r="AH479" t="s">
        <v>226</v>
      </c>
      <c r="AI479" t="s">
        <v>227</v>
      </c>
      <c r="AJ479" t="s">
        <v>50</v>
      </c>
      <c r="AK479" t="s">
        <v>51</v>
      </c>
      <c r="AL479">
        <v>3.6726999999999999</v>
      </c>
      <c r="AM479" t="s">
        <v>52</v>
      </c>
      <c r="AN479" t="s">
        <v>128</v>
      </c>
      <c r="AO479" t="s">
        <v>129</v>
      </c>
      <c r="AP479" t="s">
        <v>130</v>
      </c>
      <c r="AQ479" t="s">
        <v>55</v>
      </c>
    </row>
    <row r="480" spans="1:43" x14ac:dyDescent="0.3">
      <c r="A480" t="s">
        <v>43</v>
      </c>
      <c r="B480">
        <v>1999</v>
      </c>
      <c r="C480">
        <v>535</v>
      </c>
      <c r="D480">
        <v>5311</v>
      </c>
      <c r="E480">
        <v>20</v>
      </c>
      <c r="F480">
        <v>202305</v>
      </c>
      <c r="G480">
        <v>2600227</v>
      </c>
      <c r="H480" t="s">
        <v>125</v>
      </c>
      <c r="I480" t="s">
        <v>45</v>
      </c>
      <c r="J480">
        <v>7</v>
      </c>
      <c r="K480">
        <f t="shared" ca="1" si="78"/>
        <v>12</v>
      </c>
      <c r="L480">
        <f t="shared" ca="1" si="79"/>
        <v>-94</v>
      </c>
      <c r="M480">
        <f t="shared" ca="1" si="80"/>
        <v>303</v>
      </c>
      <c r="N480">
        <f t="shared" ca="1" si="80"/>
        <v>221</v>
      </c>
      <c r="O480">
        <f t="shared" ca="1" si="77"/>
        <v>828</v>
      </c>
      <c r="P480">
        <f t="shared" ca="1" si="81"/>
        <v>1252</v>
      </c>
      <c r="Q480">
        <f t="shared" ca="1" si="82"/>
        <v>737</v>
      </c>
      <c r="R480">
        <f t="shared" ca="1" si="83"/>
        <v>203</v>
      </c>
      <c r="S480">
        <f t="shared" ca="1" si="84"/>
        <v>3133</v>
      </c>
      <c r="T480">
        <f t="shared" ca="1" si="85"/>
        <v>7190</v>
      </c>
      <c r="U480">
        <f t="shared" ca="1" si="86"/>
        <v>26</v>
      </c>
      <c r="V480">
        <v>0</v>
      </c>
      <c r="W480">
        <v>0</v>
      </c>
      <c r="X480">
        <f t="shared" ca="1" si="87"/>
        <v>-176</v>
      </c>
      <c r="Y480">
        <v>0</v>
      </c>
      <c r="Z480">
        <v>0</v>
      </c>
      <c r="AA480">
        <v>54</v>
      </c>
      <c r="AB480" t="s">
        <v>257</v>
      </c>
      <c r="AC480" t="s">
        <v>258</v>
      </c>
      <c r="AD480">
        <v>1</v>
      </c>
      <c r="AE480">
        <v>52</v>
      </c>
      <c r="AF480">
        <v>2257</v>
      </c>
      <c r="AG480" t="s">
        <v>47</v>
      </c>
      <c r="AH480" t="s">
        <v>226</v>
      </c>
      <c r="AI480" t="s">
        <v>227</v>
      </c>
      <c r="AJ480" t="s">
        <v>50</v>
      </c>
      <c r="AK480" t="s">
        <v>51</v>
      </c>
      <c r="AL480">
        <v>3.6726999999999999</v>
      </c>
      <c r="AM480" t="s">
        <v>52</v>
      </c>
      <c r="AN480" t="s">
        <v>128</v>
      </c>
      <c r="AO480" t="s">
        <v>129</v>
      </c>
      <c r="AP480" t="s">
        <v>130</v>
      </c>
      <c r="AQ480" t="s">
        <v>55</v>
      </c>
    </row>
    <row r="481" spans="1:43" x14ac:dyDescent="0.3">
      <c r="A481" t="s">
        <v>43</v>
      </c>
      <c r="B481">
        <v>1999</v>
      </c>
      <c r="C481">
        <v>535</v>
      </c>
      <c r="D481">
        <v>5311</v>
      </c>
      <c r="E481">
        <v>20</v>
      </c>
      <c r="F481">
        <v>202305</v>
      </c>
      <c r="G481">
        <v>2600229</v>
      </c>
      <c r="H481" t="s">
        <v>125</v>
      </c>
      <c r="I481" t="s">
        <v>45</v>
      </c>
      <c r="J481">
        <v>7</v>
      </c>
      <c r="K481">
        <f t="shared" ca="1" si="78"/>
        <v>86</v>
      </c>
      <c r="L481">
        <f t="shared" ca="1" si="79"/>
        <v>75</v>
      </c>
      <c r="M481">
        <f t="shared" ca="1" si="80"/>
        <v>207</v>
      </c>
      <c r="N481">
        <f t="shared" ca="1" si="80"/>
        <v>92</v>
      </c>
      <c r="O481">
        <f t="shared" ca="1" si="77"/>
        <v>539</v>
      </c>
      <c r="P481">
        <f t="shared" ca="1" si="81"/>
        <v>334</v>
      </c>
      <c r="Q481">
        <f t="shared" ca="1" si="82"/>
        <v>1057</v>
      </c>
      <c r="R481">
        <f t="shared" ca="1" si="83"/>
        <v>51</v>
      </c>
      <c r="S481">
        <f t="shared" ca="1" si="84"/>
        <v>9676</v>
      </c>
      <c r="T481">
        <f t="shared" ca="1" si="85"/>
        <v>2851</v>
      </c>
      <c r="U481">
        <f t="shared" ca="1" si="86"/>
        <v>33</v>
      </c>
      <c r="V481">
        <v>0</v>
      </c>
      <c r="W481">
        <v>0</v>
      </c>
      <c r="X481">
        <f t="shared" ca="1" si="87"/>
        <v>-238</v>
      </c>
      <c r="Y481">
        <v>0</v>
      </c>
      <c r="Z481">
        <v>0</v>
      </c>
      <c r="AA481">
        <v>100</v>
      </c>
      <c r="AB481" t="s">
        <v>257</v>
      </c>
      <c r="AC481" t="s">
        <v>259</v>
      </c>
      <c r="AD481">
        <v>1</v>
      </c>
      <c r="AE481">
        <v>52</v>
      </c>
      <c r="AF481">
        <v>2257</v>
      </c>
      <c r="AG481" t="s">
        <v>47</v>
      </c>
      <c r="AH481" t="s">
        <v>226</v>
      </c>
      <c r="AI481" t="s">
        <v>227</v>
      </c>
      <c r="AJ481" t="s">
        <v>50</v>
      </c>
      <c r="AK481" t="s">
        <v>51</v>
      </c>
      <c r="AL481">
        <v>3.6726999999999999</v>
      </c>
      <c r="AM481" t="s">
        <v>52</v>
      </c>
      <c r="AN481" t="s">
        <v>128</v>
      </c>
      <c r="AO481" t="s">
        <v>129</v>
      </c>
      <c r="AP481" t="s">
        <v>130</v>
      </c>
      <c r="AQ481" t="s">
        <v>55</v>
      </c>
    </row>
    <row r="482" spans="1:43" x14ac:dyDescent="0.3">
      <c r="A482" t="s">
        <v>43</v>
      </c>
      <c r="B482">
        <v>1999</v>
      </c>
      <c r="C482">
        <v>535</v>
      </c>
      <c r="D482">
        <v>5311</v>
      </c>
      <c r="E482">
        <v>20</v>
      </c>
      <c r="F482">
        <v>202305</v>
      </c>
      <c r="G482">
        <v>2600230</v>
      </c>
      <c r="H482" t="s">
        <v>125</v>
      </c>
      <c r="I482" t="s">
        <v>45</v>
      </c>
      <c r="J482">
        <v>7</v>
      </c>
      <c r="K482">
        <f t="shared" ca="1" si="78"/>
        <v>5</v>
      </c>
      <c r="L482">
        <f t="shared" ca="1" si="79"/>
        <v>-42</v>
      </c>
      <c r="M482">
        <f t="shared" ca="1" si="80"/>
        <v>-33</v>
      </c>
      <c r="N482">
        <f t="shared" ca="1" si="80"/>
        <v>409</v>
      </c>
      <c r="O482">
        <f t="shared" ca="1" si="77"/>
        <v>45</v>
      </c>
      <c r="P482">
        <f t="shared" ca="1" si="81"/>
        <v>322</v>
      </c>
      <c r="Q482">
        <f t="shared" ca="1" si="82"/>
        <v>417</v>
      </c>
      <c r="R482">
        <f t="shared" ca="1" si="83"/>
        <v>378</v>
      </c>
      <c r="S482">
        <f t="shared" ca="1" si="84"/>
        <v>13589</v>
      </c>
      <c r="T482">
        <f t="shared" ca="1" si="85"/>
        <v>9603</v>
      </c>
      <c r="U482">
        <f t="shared" ca="1" si="86"/>
        <v>1230</v>
      </c>
      <c r="V482">
        <v>0</v>
      </c>
      <c r="W482">
        <v>0</v>
      </c>
      <c r="X482">
        <f t="shared" ca="1" si="87"/>
        <v>-410</v>
      </c>
      <c r="Y482">
        <v>0</v>
      </c>
      <c r="Z482">
        <v>0</v>
      </c>
      <c r="AA482">
        <v>94</v>
      </c>
      <c r="AB482" t="s">
        <v>257</v>
      </c>
      <c r="AC482" t="s">
        <v>260</v>
      </c>
      <c r="AD482">
        <v>1</v>
      </c>
      <c r="AE482">
        <v>52</v>
      </c>
      <c r="AF482">
        <v>2257</v>
      </c>
      <c r="AG482" t="s">
        <v>47</v>
      </c>
      <c r="AH482" t="s">
        <v>226</v>
      </c>
      <c r="AI482" t="s">
        <v>227</v>
      </c>
      <c r="AJ482" t="s">
        <v>50</v>
      </c>
      <c r="AK482" t="s">
        <v>51</v>
      </c>
      <c r="AL482">
        <v>3.6726999999999999</v>
      </c>
      <c r="AM482" t="s">
        <v>52</v>
      </c>
      <c r="AN482" t="s">
        <v>128</v>
      </c>
      <c r="AO482" t="s">
        <v>129</v>
      </c>
      <c r="AP482" t="s">
        <v>130</v>
      </c>
      <c r="AQ482" t="s">
        <v>55</v>
      </c>
    </row>
    <row r="483" spans="1:43" x14ac:dyDescent="0.3">
      <c r="A483" t="s">
        <v>43</v>
      </c>
      <c r="B483">
        <v>1999</v>
      </c>
      <c r="C483">
        <v>535</v>
      </c>
      <c r="D483">
        <v>5311</v>
      </c>
      <c r="E483">
        <v>20</v>
      </c>
      <c r="F483">
        <v>202305</v>
      </c>
      <c r="G483">
        <v>2600232</v>
      </c>
      <c r="H483" t="s">
        <v>125</v>
      </c>
      <c r="I483" t="s">
        <v>45</v>
      </c>
      <c r="J483">
        <v>7</v>
      </c>
      <c r="K483">
        <f t="shared" ca="1" si="78"/>
        <v>42</v>
      </c>
      <c r="L483">
        <f t="shared" ca="1" si="79"/>
        <v>-96</v>
      </c>
      <c r="M483">
        <f t="shared" ca="1" si="80"/>
        <v>-65</v>
      </c>
      <c r="N483">
        <f t="shared" ca="1" si="80"/>
        <v>43</v>
      </c>
      <c r="O483">
        <f t="shared" ca="1" si="77"/>
        <v>340</v>
      </c>
      <c r="P483">
        <f t="shared" ca="1" si="81"/>
        <v>166</v>
      </c>
      <c r="Q483">
        <f t="shared" ca="1" si="82"/>
        <v>563</v>
      </c>
      <c r="R483">
        <f t="shared" ca="1" si="83"/>
        <v>263</v>
      </c>
      <c r="S483">
        <f t="shared" ca="1" si="84"/>
        <v>10773</v>
      </c>
      <c r="T483">
        <f t="shared" ca="1" si="85"/>
        <v>5552</v>
      </c>
      <c r="U483">
        <f t="shared" ca="1" si="86"/>
        <v>687</v>
      </c>
      <c r="V483">
        <v>0</v>
      </c>
      <c r="W483">
        <v>0</v>
      </c>
      <c r="X483">
        <f t="shared" ca="1" si="87"/>
        <v>-17</v>
      </c>
      <c r="Y483">
        <v>0</v>
      </c>
      <c r="Z483">
        <v>0</v>
      </c>
      <c r="AA483">
        <v>100</v>
      </c>
      <c r="AB483" t="s">
        <v>257</v>
      </c>
      <c r="AC483" t="s">
        <v>261</v>
      </c>
      <c r="AD483">
        <v>1</v>
      </c>
      <c r="AE483">
        <v>52</v>
      </c>
      <c r="AF483">
        <v>2257</v>
      </c>
      <c r="AG483" t="s">
        <v>47</v>
      </c>
      <c r="AH483" t="s">
        <v>226</v>
      </c>
      <c r="AI483" t="s">
        <v>227</v>
      </c>
      <c r="AJ483" t="s">
        <v>50</v>
      </c>
      <c r="AK483" t="s">
        <v>51</v>
      </c>
      <c r="AL483">
        <v>3.6726999999999999</v>
      </c>
      <c r="AM483" t="s">
        <v>52</v>
      </c>
      <c r="AN483" t="s">
        <v>128</v>
      </c>
      <c r="AO483" t="s">
        <v>129</v>
      </c>
      <c r="AP483" t="s">
        <v>130</v>
      </c>
      <c r="AQ483" t="s">
        <v>55</v>
      </c>
    </row>
    <row r="484" spans="1:43" x14ac:dyDescent="0.3">
      <c r="A484" t="s">
        <v>43</v>
      </c>
      <c r="B484">
        <v>1999</v>
      </c>
      <c r="C484">
        <v>535</v>
      </c>
      <c r="D484">
        <v>5311</v>
      </c>
      <c r="E484">
        <v>20</v>
      </c>
      <c r="F484">
        <v>202305</v>
      </c>
      <c r="G484">
        <v>2600233</v>
      </c>
      <c r="H484" t="s">
        <v>125</v>
      </c>
      <c r="I484" t="s">
        <v>45</v>
      </c>
      <c r="J484">
        <v>7</v>
      </c>
      <c r="K484">
        <f t="shared" ca="1" si="78"/>
        <v>25</v>
      </c>
      <c r="L484">
        <f t="shared" ca="1" si="79"/>
        <v>43</v>
      </c>
      <c r="M484">
        <f t="shared" ca="1" si="80"/>
        <v>32</v>
      </c>
      <c r="N484">
        <f t="shared" ca="1" si="80"/>
        <v>-7</v>
      </c>
      <c r="O484">
        <f t="shared" ca="1" si="77"/>
        <v>932</v>
      </c>
      <c r="P484">
        <f t="shared" ca="1" si="81"/>
        <v>856</v>
      </c>
      <c r="Q484">
        <f t="shared" ca="1" si="82"/>
        <v>215</v>
      </c>
      <c r="R484">
        <f t="shared" ca="1" si="83"/>
        <v>-50</v>
      </c>
      <c r="S484">
        <f t="shared" ca="1" si="84"/>
        <v>1696</v>
      </c>
      <c r="T484">
        <f t="shared" ca="1" si="85"/>
        <v>3798</v>
      </c>
      <c r="U484">
        <f t="shared" ca="1" si="86"/>
        <v>-21</v>
      </c>
      <c r="V484">
        <v>0</v>
      </c>
      <c r="W484">
        <v>0</v>
      </c>
      <c r="X484">
        <f t="shared" ca="1" si="87"/>
        <v>-452</v>
      </c>
      <c r="Y484">
        <v>0</v>
      </c>
      <c r="Z484">
        <v>0</v>
      </c>
      <c r="AA484">
        <v>90</v>
      </c>
      <c r="AB484" t="s">
        <v>257</v>
      </c>
      <c r="AC484" t="s">
        <v>262</v>
      </c>
      <c r="AD484">
        <v>1</v>
      </c>
      <c r="AE484">
        <v>52</v>
      </c>
      <c r="AF484">
        <v>2257</v>
      </c>
      <c r="AG484" t="s">
        <v>47</v>
      </c>
      <c r="AH484" t="s">
        <v>226</v>
      </c>
      <c r="AI484" t="s">
        <v>227</v>
      </c>
      <c r="AJ484" t="s">
        <v>50</v>
      </c>
      <c r="AK484" t="s">
        <v>51</v>
      </c>
      <c r="AL484">
        <v>3.6726999999999999</v>
      </c>
      <c r="AM484" t="s">
        <v>52</v>
      </c>
      <c r="AN484" t="s">
        <v>128</v>
      </c>
      <c r="AO484" t="s">
        <v>129</v>
      </c>
      <c r="AP484" t="s">
        <v>130</v>
      </c>
      <c r="AQ484" t="s">
        <v>55</v>
      </c>
    </row>
    <row r="485" spans="1:43" x14ac:dyDescent="0.3">
      <c r="A485" t="s">
        <v>43</v>
      </c>
      <c r="B485">
        <v>1999</v>
      </c>
      <c r="C485">
        <v>535</v>
      </c>
      <c r="D485">
        <v>5311</v>
      </c>
      <c r="E485">
        <v>20</v>
      </c>
      <c r="F485">
        <v>202305</v>
      </c>
      <c r="G485">
        <v>2600234</v>
      </c>
      <c r="H485" t="s">
        <v>125</v>
      </c>
      <c r="I485" t="s">
        <v>45</v>
      </c>
      <c r="J485">
        <v>7</v>
      </c>
      <c r="K485">
        <f t="shared" ca="1" si="78"/>
        <v>40</v>
      </c>
      <c r="L485">
        <f t="shared" ca="1" si="79"/>
        <v>-31</v>
      </c>
      <c r="M485">
        <f t="shared" ca="1" si="80"/>
        <v>182</v>
      </c>
      <c r="N485">
        <f t="shared" ca="1" si="80"/>
        <v>238</v>
      </c>
      <c r="O485">
        <f t="shared" ca="1" si="77"/>
        <v>204</v>
      </c>
      <c r="P485">
        <f t="shared" ca="1" si="81"/>
        <v>1243</v>
      </c>
      <c r="Q485">
        <f t="shared" ca="1" si="82"/>
        <v>167</v>
      </c>
      <c r="R485">
        <f t="shared" ca="1" si="83"/>
        <v>82</v>
      </c>
      <c r="S485">
        <f t="shared" ca="1" si="84"/>
        <v>10082</v>
      </c>
      <c r="T485">
        <f t="shared" ca="1" si="85"/>
        <v>3504</v>
      </c>
      <c r="U485">
        <f t="shared" ca="1" si="86"/>
        <v>398</v>
      </c>
      <c r="V485">
        <v>0</v>
      </c>
      <c r="W485">
        <v>0</v>
      </c>
      <c r="X485">
        <f t="shared" ca="1" si="87"/>
        <v>-206</v>
      </c>
      <c r="Y485">
        <v>0</v>
      </c>
      <c r="Z485">
        <v>0</v>
      </c>
      <c r="AA485">
        <v>100</v>
      </c>
      <c r="AB485" t="s">
        <v>257</v>
      </c>
      <c r="AC485" t="s">
        <v>263</v>
      </c>
      <c r="AD485">
        <v>1</v>
      </c>
      <c r="AE485">
        <v>52</v>
      </c>
      <c r="AF485">
        <v>2257</v>
      </c>
      <c r="AG485" t="s">
        <v>47</v>
      </c>
      <c r="AH485" t="s">
        <v>226</v>
      </c>
      <c r="AI485" t="s">
        <v>227</v>
      </c>
      <c r="AJ485" t="s">
        <v>50</v>
      </c>
      <c r="AK485" t="s">
        <v>51</v>
      </c>
      <c r="AL485">
        <v>3.6726999999999999</v>
      </c>
      <c r="AM485" t="s">
        <v>52</v>
      </c>
      <c r="AN485" t="s">
        <v>128</v>
      </c>
      <c r="AO485" t="s">
        <v>129</v>
      </c>
      <c r="AP485" t="s">
        <v>130</v>
      </c>
      <c r="AQ485" t="s">
        <v>55</v>
      </c>
    </row>
    <row r="486" spans="1:43" x14ac:dyDescent="0.3">
      <c r="A486" t="s">
        <v>43</v>
      </c>
      <c r="B486">
        <v>1999</v>
      </c>
      <c r="C486">
        <v>535</v>
      </c>
      <c r="D486">
        <v>5311</v>
      </c>
      <c r="E486">
        <v>20</v>
      </c>
      <c r="F486">
        <v>202305</v>
      </c>
      <c r="G486">
        <v>2600235</v>
      </c>
      <c r="H486" t="s">
        <v>125</v>
      </c>
      <c r="I486" t="s">
        <v>45</v>
      </c>
      <c r="J486">
        <v>7</v>
      </c>
      <c r="K486">
        <f t="shared" ca="1" si="78"/>
        <v>52</v>
      </c>
      <c r="L486">
        <f t="shared" ca="1" si="79"/>
        <v>-83</v>
      </c>
      <c r="M486">
        <f t="shared" ca="1" si="80"/>
        <v>381</v>
      </c>
      <c r="N486">
        <f t="shared" ca="1" si="80"/>
        <v>141</v>
      </c>
      <c r="O486">
        <f t="shared" ca="1" si="77"/>
        <v>518</v>
      </c>
      <c r="P486">
        <f t="shared" ca="1" si="81"/>
        <v>297</v>
      </c>
      <c r="Q486">
        <f t="shared" ca="1" si="82"/>
        <v>299</v>
      </c>
      <c r="R486">
        <f t="shared" ca="1" si="83"/>
        <v>70</v>
      </c>
      <c r="S486">
        <f t="shared" ca="1" si="84"/>
        <v>11533</v>
      </c>
      <c r="T486">
        <f t="shared" ca="1" si="85"/>
        <v>9680</v>
      </c>
      <c r="U486">
        <f t="shared" ca="1" si="86"/>
        <v>1237</v>
      </c>
      <c r="V486">
        <v>0</v>
      </c>
      <c r="W486">
        <v>0</v>
      </c>
      <c r="X486">
        <f t="shared" ca="1" si="87"/>
        <v>26</v>
      </c>
      <c r="Y486">
        <v>0</v>
      </c>
      <c r="Z486">
        <v>0</v>
      </c>
      <c r="AA486">
        <v>84</v>
      </c>
      <c r="AB486" t="s">
        <v>257</v>
      </c>
      <c r="AC486" t="s">
        <v>264</v>
      </c>
      <c r="AD486">
        <v>1</v>
      </c>
      <c r="AE486">
        <v>52</v>
      </c>
      <c r="AF486">
        <v>2257</v>
      </c>
      <c r="AG486" t="s">
        <v>47</v>
      </c>
      <c r="AH486" t="s">
        <v>226</v>
      </c>
      <c r="AI486" t="s">
        <v>227</v>
      </c>
      <c r="AJ486" t="s">
        <v>50</v>
      </c>
      <c r="AK486" t="s">
        <v>51</v>
      </c>
      <c r="AL486">
        <v>3.6726999999999999</v>
      </c>
      <c r="AM486" t="s">
        <v>52</v>
      </c>
      <c r="AN486" t="s">
        <v>128</v>
      </c>
      <c r="AO486" t="s">
        <v>129</v>
      </c>
      <c r="AP486" t="s">
        <v>130</v>
      </c>
      <c r="AQ486" t="s">
        <v>55</v>
      </c>
    </row>
    <row r="487" spans="1:43" x14ac:dyDescent="0.3">
      <c r="A487" t="s">
        <v>43</v>
      </c>
      <c r="B487">
        <v>1999</v>
      </c>
      <c r="C487">
        <v>535</v>
      </c>
      <c r="D487">
        <v>5311</v>
      </c>
      <c r="E487">
        <v>20</v>
      </c>
      <c r="F487">
        <v>202305</v>
      </c>
      <c r="G487">
        <v>2700240</v>
      </c>
      <c r="H487" t="s">
        <v>125</v>
      </c>
      <c r="I487" t="s">
        <v>45</v>
      </c>
      <c r="J487">
        <v>7</v>
      </c>
      <c r="K487">
        <f t="shared" ca="1" si="78"/>
        <v>45</v>
      </c>
      <c r="L487">
        <f t="shared" ca="1" si="79"/>
        <v>-50</v>
      </c>
      <c r="M487">
        <f t="shared" ca="1" si="80"/>
        <v>81</v>
      </c>
      <c r="N487">
        <f t="shared" ca="1" si="80"/>
        <v>444</v>
      </c>
      <c r="O487">
        <f t="shared" ca="1" si="77"/>
        <v>341</v>
      </c>
      <c r="P487">
        <f t="shared" ca="1" si="81"/>
        <v>1427</v>
      </c>
      <c r="Q487">
        <f t="shared" ca="1" si="82"/>
        <v>787</v>
      </c>
      <c r="R487">
        <f t="shared" ca="1" si="83"/>
        <v>487</v>
      </c>
      <c r="S487">
        <f t="shared" ca="1" si="84"/>
        <v>7419</v>
      </c>
      <c r="T487">
        <f t="shared" ca="1" si="85"/>
        <v>6587</v>
      </c>
      <c r="U487">
        <f t="shared" ca="1" si="86"/>
        <v>430</v>
      </c>
      <c r="V487">
        <v>0</v>
      </c>
      <c r="W487">
        <v>0</v>
      </c>
      <c r="X487">
        <f t="shared" ca="1" si="87"/>
        <v>-464</v>
      </c>
      <c r="Y487">
        <v>0</v>
      </c>
      <c r="Z487">
        <v>0</v>
      </c>
      <c r="AA487">
        <v>36</v>
      </c>
      <c r="AB487" t="s">
        <v>136</v>
      </c>
      <c r="AC487" t="s">
        <v>265</v>
      </c>
      <c r="AD487">
        <v>1</v>
      </c>
      <c r="AE487">
        <v>52</v>
      </c>
      <c r="AF487">
        <v>2257</v>
      </c>
      <c r="AG487" t="s">
        <v>47</v>
      </c>
      <c r="AH487" t="s">
        <v>226</v>
      </c>
      <c r="AI487" t="s">
        <v>227</v>
      </c>
      <c r="AJ487" t="s">
        <v>50</v>
      </c>
      <c r="AK487" t="s">
        <v>51</v>
      </c>
      <c r="AL487">
        <v>3.6726999999999999</v>
      </c>
      <c r="AM487" t="s">
        <v>52</v>
      </c>
      <c r="AN487" t="s">
        <v>128</v>
      </c>
      <c r="AO487" t="s">
        <v>129</v>
      </c>
      <c r="AP487" t="s">
        <v>130</v>
      </c>
      <c r="AQ487" t="s">
        <v>55</v>
      </c>
    </row>
    <row r="488" spans="1:43" x14ac:dyDescent="0.3">
      <c r="A488" t="s">
        <v>43</v>
      </c>
      <c r="B488">
        <v>1999</v>
      </c>
      <c r="C488">
        <v>535</v>
      </c>
      <c r="D488">
        <v>5311</v>
      </c>
      <c r="E488">
        <v>20</v>
      </c>
      <c r="F488">
        <v>202305</v>
      </c>
      <c r="G488">
        <v>2700241</v>
      </c>
      <c r="H488" t="s">
        <v>125</v>
      </c>
      <c r="I488" t="s">
        <v>45</v>
      </c>
      <c r="J488">
        <v>7</v>
      </c>
      <c r="K488">
        <f t="shared" ca="1" si="78"/>
        <v>0</v>
      </c>
      <c r="L488">
        <f t="shared" ca="1" si="79"/>
        <v>24</v>
      </c>
      <c r="M488">
        <f t="shared" ca="1" si="80"/>
        <v>98</v>
      </c>
      <c r="N488">
        <f t="shared" ca="1" si="80"/>
        <v>375</v>
      </c>
      <c r="O488">
        <f t="shared" ca="1" si="77"/>
        <v>219</v>
      </c>
      <c r="P488">
        <f t="shared" ca="1" si="81"/>
        <v>1253</v>
      </c>
      <c r="Q488">
        <f t="shared" ca="1" si="82"/>
        <v>563</v>
      </c>
      <c r="R488">
        <f t="shared" ca="1" si="83"/>
        <v>6</v>
      </c>
      <c r="S488">
        <f t="shared" ca="1" si="84"/>
        <v>13034</v>
      </c>
      <c r="T488">
        <f t="shared" ca="1" si="85"/>
        <v>1766</v>
      </c>
      <c r="U488">
        <f t="shared" ca="1" si="86"/>
        <v>1224</v>
      </c>
      <c r="V488">
        <v>0</v>
      </c>
      <c r="W488">
        <v>0</v>
      </c>
      <c r="X488">
        <f t="shared" ca="1" si="87"/>
        <v>-468</v>
      </c>
      <c r="Y488">
        <v>0</v>
      </c>
      <c r="Z488">
        <v>0</v>
      </c>
      <c r="AA488">
        <v>0</v>
      </c>
      <c r="AB488" t="s">
        <v>136</v>
      </c>
      <c r="AC488" t="s">
        <v>219</v>
      </c>
      <c r="AD488">
        <v>1</v>
      </c>
      <c r="AE488">
        <v>52</v>
      </c>
      <c r="AF488">
        <v>2257</v>
      </c>
      <c r="AG488" t="s">
        <v>47</v>
      </c>
      <c r="AH488" t="s">
        <v>226</v>
      </c>
      <c r="AI488" t="s">
        <v>227</v>
      </c>
      <c r="AJ488" t="s">
        <v>50</v>
      </c>
      <c r="AK488" t="s">
        <v>51</v>
      </c>
      <c r="AL488">
        <v>3.6726999999999999</v>
      </c>
      <c r="AM488" t="s">
        <v>52</v>
      </c>
      <c r="AN488" t="s">
        <v>128</v>
      </c>
      <c r="AO488" t="s">
        <v>129</v>
      </c>
      <c r="AP488" t="s">
        <v>130</v>
      </c>
      <c r="AQ488" t="s">
        <v>55</v>
      </c>
    </row>
    <row r="489" spans="1:43" x14ac:dyDescent="0.3">
      <c r="A489" t="s">
        <v>43</v>
      </c>
      <c r="B489">
        <v>1999</v>
      </c>
      <c r="C489">
        <v>535</v>
      </c>
      <c r="D489">
        <v>5311</v>
      </c>
      <c r="E489">
        <v>20</v>
      </c>
      <c r="F489">
        <v>202305</v>
      </c>
      <c r="G489">
        <v>2700242</v>
      </c>
      <c r="H489" t="s">
        <v>125</v>
      </c>
      <c r="I489" t="s">
        <v>45</v>
      </c>
      <c r="J489">
        <v>7</v>
      </c>
      <c r="K489">
        <f t="shared" ca="1" si="78"/>
        <v>90</v>
      </c>
      <c r="L489">
        <f t="shared" ca="1" si="79"/>
        <v>19</v>
      </c>
      <c r="M489">
        <f t="shared" ca="1" si="80"/>
        <v>320</v>
      </c>
      <c r="N489">
        <f t="shared" ca="1" si="80"/>
        <v>490</v>
      </c>
      <c r="O489">
        <f t="shared" ca="1" si="77"/>
        <v>31</v>
      </c>
      <c r="P489">
        <f t="shared" ca="1" si="81"/>
        <v>1159</v>
      </c>
      <c r="Q489">
        <f t="shared" ca="1" si="82"/>
        <v>559</v>
      </c>
      <c r="R489">
        <f t="shared" ca="1" si="83"/>
        <v>47</v>
      </c>
      <c r="S489">
        <f t="shared" ca="1" si="84"/>
        <v>3850</v>
      </c>
      <c r="T489">
        <f t="shared" ca="1" si="85"/>
        <v>9387</v>
      </c>
      <c r="U489">
        <f t="shared" ca="1" si="86"/>
        <v>132</v>
      </c>
      <c r="V489">
        <v>0</v>
      </c>
      <c r="W489">
        <v>0</v>
      </c>
      <c r="X489">
        <f t="shared" ca="1" si="87"/>
        <v>16</v>
      </c>
      <c r="Y489">
        <v>0</v>
      </c>
      <c r="Z489">
        <v>0</v>
      </c>
      <c r="AA489">
        <v>0</v>
      </c>
      <c r="AB489" t="s">
        <v>136</v>
      </c>
      <c r="AC489" t="s">
        <v>266</v>
      </c>
      <c r="AD489">
        <v>1</v>
      </c>
      <c r="AE489">
        <v>52</v>
      </c>
      <c r="AF489">
        <v>2257</v>
      </c>
      <c r="AG489" t="s">
        <v>47</v>
      </c>
      <c r="AH489" t="s">
        <v>226</v>
      </c>
      <c r="AI489" t="s">
        <v>227</v>
      </c>
      <c r="AJ489" t="s">
        <v>50</v>
      </c>
      <c r="AK489" t="s">
        <v>51</v>
      </c>
      <c r="AL489">
        <v>3.6726999999999999</v>
      </c>
      <c r="AM489" t="s">
        <v>52</v>
      </c>
      <c r="AN489" t="s">
        <v>128</v>
      </c>
      <c r="AO489" t="s">
        <v>129</v>
      </c>
      <c r="AP489" t="s">
        <v>130</v>
      </c>
      <c r="AQ489" t="s">
        <v>55</v>
      </c>
    </row>
    <row r="490" spans="1:43" x14ac:dyDescent="0.3">
      <c r="A490" t="s">
        <v>43</v>
      </c>
      <c r="B490">
        <v>1999</v>
      </c>
      <c r="C490">
        <v>535</v>
      </c>
      <c r="D490">
        <v>5311</v>
      </c>
      <c r="E490">
        <v>20</v>
      </c>
      <c r="F490">
        <v>202305</v>
      </c>
      <c r="G490">
        <v>2700243</v>
      </c>
      <c r="H490" t="s">
        <v>125</v>
      </c>
      <c r="I490" t="s">
        <v>45</v>
      </c>
      <c r="J490">
        <v>7</v>
      </c>
      <c r="K490">
        <f t="shared" ca="1" si="78"/>
        <v>67</v>
      </c>
      <c r="L490">
        <f t="shared" ca="1" si="79"/>
        <v>48</v>
      </c>
      <c r="M490">
        <f t="shared" ca="1" si="80"/>
        <v>257</v>
      </c>
      <c r="N490">
        <f t="shared" ca="1" si="80"/>
        <v>348</v>
      </c>
      <c r="O490">
        <f t="shared" ca="1" si="77"/>
        <v>130</v>
      </c>
      <c r="P490">
        <f t="shared" ca="1" si="81"/>
        <v>-406</v>
      </c>
      <c r="Q490">
        <f t="shared" ca="1" si="82"/>
        <v>463</v>
      </c>
      <c r="R490">
        <f t="shared" ca="1" si="83"/>
        <v>293</v>
      </c>
      <c r="S490">
        <f t="shared" ca="1" si="84"/>
        <v>9368</v>
      </c>
      <c r="T490">
        <f t="shared" ca="1" si="85"/>
        <v>5844</v>
      </c>
      <c r="U490">
        <f t="shared" ca="1" si="86"/>
        <v>1026</v>
      </c>
      <c r="V490">
        <v>0</v>
      </c>
      <c r="W490">
        <v>0</v>
      </c>
      <c r="X490">
        <f t="shared" ca="1" si="87"/>
        <v>-172</v>
      </c>
      <c r="Y490">
        <v>0</v>
      </c>
      <c r="Z490">
        <v>0</v>
      </c>
      <c r="AA490">
        <v>0</v>
      </c>
      <c r="AB490" t="s">
        <v>136</v>
      </c>
      <c r="AC490" t="s">
        <v>267</v>
      </c>
      <c r="AD490">
        <v>1</v>
      </c>
      <c r="AE490">
        <v>52</v>
      </c>
      <c r="AF490">
        <v>2257</v>
      </c>
      <c r="AG490" t="s">
        <v>47</v>
      </c>
      <c r="AH490" t="s">
        <v>226</v>
      </c>
      <c r="AI490" t="s">
        <v>227</v>
      </c>
      <c r="AJ490" t="s">
        <v>50</v>
      </c>
      <c r="AK490" t="s">
        <v>51</v>
      </c>
      <c r="AL490">
        <v>3.6726999999999999</v>
      </c>
      <c r="AM490" t="s">
        <v>52</v>
      </c>
      <c r="AN490" t="s">
        <v>128</v>
      </c>
      <c r="AO490" t="s">
        <v>129</v>
      </c>
      <c r="AP490" t="s">
        <v>130</v>
      </c>
      <c r="AQ490" t="s">
        <v>55</v>
      </c>
    </row>
    <row r="491" spans="1:43" x14ac:dyDescent="0.3">
      <c r="A491" t="s">
        <v>43</v>
      </c>
      <c r="B491">
        <v>1999</v>
      </c>
      <c r="C491">
        <v>535</v>
      </c>
      <c r="D491">
        <v>5311</v>
      </c>
      <c r="E491">
        <v>20</v>
      </c>
      <c r="F491">
        <v>202305</v>
      </c>
      <c r="G491">
        <v>2700244</v>
      </c>
      <c r="H491" t="s">
        <v>125</v>
      </c>
      <c r="I491" t="s">
        <v>45</v>
      </c>
      <c r="J491">
        <v>7</v>
      </c>
      <c r="K491">
        <f t="shared" ca="1" si="78"/>
        <v>91</v>
      </c>
      <c r="L491">
        <f t="shared" ca="1" si="79"/>
        <v>-34</v>
      </c>
      <c r="M491">
        <f t="shared" ca="1" si="80"/>
        <v>426</v>
      </c>
      <c r="N491">
        <f t="shared" ca="1" si="80"/>
        <v>477</v>
      </c>
      <c r="O491">
        <f t="shared" ca="1" si="77"/>
        <v>157</v>
      </c>
      <c r="P491">
        <f t="shared" ca="1" si="81"/>
        <v>209</v>
      </c>
      <c r="Q491">
        <f t="shared" ca="1" si="82"/>
        <v>1177</v>
      </c>
      <c r="R491">
        <f t="shared" ca="1" si="83"/>
        <v>290</v>
      </c>
      <c r="S491">
        <f t="shared" ca="1" si="84"/>
        <v>8821</v>
      </c>
      <c r="T491">
        <f t="shared" ca="1" si="85"/>
        <v>5430</v>
      </c>
      <c r="U491">
        <f t="shared" ca="1" si="86"/>
        <v>1139</v>
      </c>
      <c r="V491">
        <v>0</v>
      </c>
      <c r="W491">
        <v>0</v>
      </c>
      <c r="X491">
        <f t="shared" ca="1" si="87"/>
        <v>-12</v>
      </c>
      <c r="Y491">
        <v>0</v>
      </c>
      <c r="Z491">
        <v>0</v>
      </c>
      <c r="AA491">
        <v>0</v>
      </c>
      <c r="AB491" t="s">
        <v>136</v>
      </c>
      <c r="AC491" t="s">
        <v>268</v>
      </c>
      <c r="AD491">
        <v>1</v>
      </c>
      <c r="AE491">
        <v>52</v>
      </c>
      <c r="AF491">
        <v>2257</v>
      </c>
      <c r="AG491" t="s">
        <v>47</v>
      </c>
      <c r="AH491" t="s">
        <v>226</v>
      </c>
      <c r="AI491" t="s">
        <v>227</v>
      </c>
      <c r="AJ491" t="s">
        <v>50</v>
      </c>
      <c r="AK491" t="s">
        <v>51</v>
      </c>
      <c r="AL491">
        <v>3.6726999999999999</v>
      </c>
      <c r="AM491" t="s">
        <v>52</v>
      </c>
      <c r="AN491" t="s">
        <v>128</v>
      </c>
      <c r="AO491" t="s">
        <v>129</v>
      </c>
      <c r="AP491" t="s">
        <v>130</v>
      </c>
      <c r="AQ491" t="s">
        <v>55</v>
      </c>
    </row>
    <row r="492" spans="1:43" x14ac:dyDescent="0.3">
      <c r="A492" t="s">
        <v>43</v>
      </c>
      <c r="B492">
        <v>1999</v>
      </c>
      <c r="C492">
        <v>535</v>
      </c>
      <c r="D492">
        <v>5311</v>
      </c>
      <c r="E492">
        <v>20</v>
      </c>
      <c r="F492">
        <v>202305</v>
      </c>
      <c r="G492">
        <v>2700245</v>
      </c>
      <c r="H492" t="s">
        <v>125</v>
      </c>
      <c r="I492" t="s">
        <v>45</v>
      </c>
      <c r="J492">
        <v>7</v>
      </c>
      <c r="K492">
        <f t="shared" ca="1" si="78"/>
        <v>78</v>
      </c>
      <c r="L492">
        <f t="shared" ca="1" si="79"/>
        <v>-46</v>
      </c>
      <c r="M492">
        <f t="shared" ca="1" si="80"/>
        <v>-75</v>
      </c>
      <c r="N492">
        <f t="shared" ca="1" si="80"/>
        <v>-27</v>
      </c>
      <c r="O492">
        <f t="shared" ca="1" si="77"/>
        <v>501</v>
      </c>
      <c r="P492">
        <f t="shared" ca="1" si="81"/>
        <v>687</v>
      </c>
      <c r="Q492">
        <f t="shared" ca="1" si="82"/>
        <v>417</v>
      </c>
      <c r="R492">
        <f t="shared" ca="1" si="83"/>
        <v>243</v>
      </c>
      <c r="S492">
        <f t="shared" ca="1" si="84"/>
        <v>2280</v>
      </c>
      <c r="T492">
        <f t="shared" ca="1" si="85"/>
        <v>779</v>
      </c>
      <c r="U492">
        <f t="shared" ca="1" si="86"/>
        <v>856</v>
      </c>
      <c r="V492">
        <v>0</v>
      </c>
      <c r="W492">
        <v>0</v>
      </c>
      <c r="X492">
        <f t="shared" ca="1" si="87"/>
        <v>-357</v>
      </c>
      <c r="Y492">
        <v>0</v>
      </c>
      <c r="Z492">
        <v>0</v>
      </c>
      <c r="AA492">
        <v>0</v>
      </c>
      <c r="AB492" t="s">
        <v>136</v>
      </c>
      <c r="AC492" t="s">
        <v>269</v>
      </c>
      <c r="AD492">
        <v>1</v>
      </c>
      <c r="AE492">
        <v>52</v>
      </c>
      <c r="AF492">
        <v>2257</v>
      </c>
      <c r="AG492" t="s">
        <v>47</v>
      </c>
      <c r="AH492" t="s">
        <v>226</v>
      </c>
      <c r="AI492" t="s">
        <v>227</v>
      </c>
      <c r="AJ492" t="s">
        <v>50</v>
      </c>
      <c r="AK492" t="s">
        <v>51</v>
      </c>
      <c r="AL492">
        <v>3.6726999999999999</v>
      </c>
      <c r="AM492" t="s">
        <v>52</v>
      </c>
      <c r="AN492" t="s">
        <v>128</v>
      </c>
      <c r="AO492" t="s">
        <v>129</v>
      </c>
      <c r="AP492" t="s">
        <v>130</v>
      </c>
      <c r="AQ492" t="s">
        <v>55</v>
      </c>
    </row>
    <row r="493" spans="1:43" x14ac:dyDescent="0.3">
      <c r="A493" t="s">
        <v>43</v>
      </c>
      <c r="B493">
        <v>1999</v>
      </c>
      <c r="C493">
        <v>535</v>
      </c>
      <c r="D493">
        <v>5311</v>
      </c>
      <c r="E493">
        <v>20</v>
      </c>
      <c r="F493">
        <v>202305</v>
      </c>
      <c r="G493">
        <v>2700246</v>
      </c>
      <c r="H493" t="s">
        <v>125</v>
      </c>
      <c r="I493" t="s">
        <v>45</v>
      </c>
      <c r="J493">
        <v>7</v>
      </c>
      <c r="K493">
        <f t="shared" ca="1" si="78"/>
        <v>53</v>
      </c>
      <c r="L493">
        <f t="shared" ca="1" si="79"/>
        <v>-65</v>
      </c>
      <c r="M493">
        <f t="shared" ca="1" si="80"/>
        <v>-60</v>
      </c>
      <c r="N493">
        <f t="shared" ca="1" si="80"/>
        <v>121</v>
      </c>
      <c r="O493">
        <f t="shared" ca="1" si="77"/>
        <v>478</v>
      </c>
      <c r="P493">
        <f t="shared" ca="1" si="81"/>
        <v>-367</v>
      </c>
      <c r="Q493">
        <f t="shared" ca="1" si="82"/>
        <v>817</v>
      </c>
      <c r="R493">
        <f t="shared" ca="1" si="83"/>
        <v>305</v>
      </c>
      <c r="S493">
        <f t="shared" ca="1" si="84"/>
        <v>3055</v>
      </c>
      <c r="T493">
        <f t="shared" ca="1" si="85"/>
        <v>9567</v>
      </c>
      <c r="U493">
        <f t="shared" ca="1" si="86"/>
        <v>1276</v>
      </c>
      <c r="V493">
        <v>0</v>
      </c>
      <c r="W493">
        <v>0</v>
      </c>
      <c r="X493">
        <f t="shared" ca="1" si="87"/>
        <v>18</v>
      </c>
      <c r="Y493">
        <v>0</v>
      </c>
      <c r="Z493">
        <v>0</v>
      </c>
      <c r="AA493">
        <v>0</v>
      </c>
      <c r="AB493" t="s">
        <v>136</v>
      </c>
      <c r="AC493" t="s">
        <v>137</v>
      </c>
      <c r="AD493">
        <v>1</v>
      </c>
      <c r="AE493">
        <v>52</v>
      </c>
      <c r="AF493">
        <v>2257</v>
      </c>
      <c r="AG493" t="s">
        <v>47</v>
      </c>
      <c r="AH493" t="s">
        <v>226</v>
      </c>
      <c r="AI493" t="s">
        <v>227</v>
      </c>
      <c r="AJ493" t="s">
        <v>50</v>
      </c>
      <c r="AK493" t="s">
        <v>51</v>
      </c>
      <c r="AL493">
        <v>3.6726999999999999</v>
      </c>
      <c r="AM493" t="s">
        <v>52</v>
      </c>
      <c r="AN493" t="s">
        <v>128</v>
      </c>
      <c r="AO493" t="s">
        <v>129</v>
      </c>
      <c r="AP493" t="s">
        <v>130</v>
      </c>
      <c r="AQ493" t="s">
        <v>55</v>
      </c>
    </row>
    <row r="494" spans="1:43" x14ac:dyDescent="0.3">
      <c r="A494" t="s">
        <v>43</v>
      </c>
      <c r="B494">
        <v>1999</v>
      </c>
      <c r="C494">
        <v>535</v>
      </c>
      <c r="D494">
        <v>5311</v>
      </c>
      <c r="E494">
        <v>20</v>
      </c>
      <c r="F494">
        <v>202305</v>
      </c>
      <c r="G494">
        <v>2700247</v>
      </c>
      <c r="H494" t="s">
        <v>125</v>
      </c>
      <c r="I494" t="s">
        <v>45</v>
      </c>
      <c r="J494">
        <v>7</v>
      </c>
      <c r="K494">
        <f t="shared" ca="1" si="78"/>
        <v>39</v>
      </c>
      <c r="L494">
        <f t="shared" ca="1" si="79"/>
        <v>81</v>
      </c>
      <c r="M494">
        <f t="shared" ca="1" si="80"/>
        <v>366</v>
      </c>
      <c r="N494">
        <f t="shared" ca="1" si="80"/>
        <v>19</v>
      </c>
      <c r="O494">
        <f t="shared" ca="1" si="77"/>
        <v>269</v>
      </c>
      <c r="P494">
        <f t="shared" ca="1" si="81"/>
        <v>959</v>
      </c>
      <c r="Q494">
        <f t="shared" ca="1" si="82"/>
        <v>359</v>
      </c>
      <c r="R494">
        <f t="shared" ca="1" si="83"/>
        <v>318</v>
      </c>
      <c r="S494">
        <f t="shared" ca="1" si="84"/>
        <v>11075</v>
      </c>
      <c r="T494">
        <f t="shared" ca="1" si="85"/>
        <v>6083</v>
      </c>
      <c r="U494">
        <f t="shared" ca="1" si="86"/>
        <v>318</v>
      </c>
      <c r="V494">
        <v>0</v>
      </c>
      <c r="W494">
        <v>0</v>
      </c>
      <c r="X494">
        <f t="shared" ca="1" si="87"/>
        <v>70</v>
      </c>
      <c r="Y494">
        <v>0</v>
      </c>
      <c r="Z494">
        <v>0</v>
      </c>
      <c r="AA494">
        <v>0</v>
      </c>
      <c r="AB494" t="s">
        <v>136</v>
      </c>
      <c r="AC494" t="s">
        <v>270</v>
      </c>
      <c r="AD494">
        <v>1</v>
      </c>
      <c r="AE494">
        <v>52</v>
      </c>
      <c r="AF494">
        <v>2257</v>
      </c>
      <c r="AG494" t="s">
        <v>47</v>
      </c>
      <c r="AH494" t="s">
        <v>226</v>
      </c>
      <c r="AI494" t="s">
        <v>227</v>
      </c>
      <c r="AJ494" t="s">
        <v>50</v>
      </c>
      <c r="AK494" t="s">
        <v>51</v>
      </c>
      <c r="AL494">
        <v>3.6726999999999999</v>
      </c>
      <c r="AM494" t="s">
        <v>52</v>
      </c>
      <c r="AN494" t="s">
        <v>128</v>
      </c>
      <c r="AO494" t="s">
        <v>129</v>
      </c>
      <c r="AP494" t="s">
        <v>130</v>
      </c>
      <c r="AQ494" t="s">
        <v>55</v>
      </c>
    </row>
    <row r="495" spans="1:43" x14ac:dyDescent="0.3">
      <c r="A495" t="s">
        <v>43</v>
      </c>
      <c r="B495">
        <v>1999</v>
      </c>
      <c r="C495">
        <v>535</v>
      </c>
      <c r="D495">
        <v>5311</v>
      </c>
      <c r="E495">
        <v>20</v>
      </c>
      <c r="F495">
        <v>202305</v>
      </c>
      <c r="G495">
        <v>2700248</v>
      </c>
      <c r="H495" t="s">
        <v>125</v>
      </c>
      <c r="I495" t="s">
        <v>45</v>
      </c>
      <c r="J495">
        <v>7</v>
      </c>
      <c r="K495">
        <f t="shared" ca="1" si="78"/>
        <v>63</v>
      </c>
      <c r="L495">
        <f t="shared" ca="1" si="79"/>
        <v>31</v>
      </c>
      <c r="M495">
        <f t="shared" ca="1" si="80"/>
        <v>-27</v>
      </c>
      <c r="N495">
        <f t="shared" ca="1" si="80"/>
        <v>232</v>
      </c>
      <c r="O495">
        <f t="shared" ca="1" si="77"/>
        <v>990</v>
      </c>
      <c r="P495">
        <f t="shared" ca="1" si="81"/>
        <v>1217</v>
      </c>
      <c r="Q495">
        <f t="shared" ca="1" si="82"/>
        <v>1166</v>
      </c>
      <c r="R495">
        <f t="shared" ca="1" si="83"/>
        <v>389</v>
      </c>
      <c r="S495">
        <f t="shared" ca="1" si="84"/>
        <v>13538</v>
      </c>
      <c r="T495">
        <f t="shared" ca="1" si="85"/>
        <v>6235</v>
      </c>
      <c r="U495">
        <f t="shared" ca="1" si="86"/>
        <v>860</v>
      </c>
      <c r="V495">
        <v>0</v>
      </c>
      <c r="W495">
        <v>0</v>
      </c>
      <c r="X495">
        <f t="shared" ca="1" si="87"/>
        <v>37</v>
      </c>
      <c r="Y495">
        <v>0</v>
      </c>
      <c r="Z495">
        <v>0</v>
      </c>
      <c r="AA495">
        <v>0</v>
      </c>
      <c r="AB495" t="s">
        <v>136</v>
      </c>
      <c r="AC495" t="s">
        <v>271</v>
      </c>
      <c r="AD495">
        <v>1</v>
      </c>
      <c r="AE495">
        <v>52</v>
      </c>
      <c r="AF495">
        <v>2257</v>
      </c>
      <c r="AG495" t="s">
        <v>47</v>
      </c>
      <c r="AH495" t="s">
        <v>226</v>
      </c>
      <c r="AI495" t="s">
        <v>227</v>
      </c>
      <c r="AJ495" t="s">
        <v>50</v>
      </c>
      <c r="AK495" t="s">
        <v>51</v>
      </c>
      <c r="AL495">
        <v>3.6726999999999999</v>
      </c>
      <c r="AM495" t="s">
        <v>52</v>
      </c>
      <c r="AN495" t="s">
        <v>128</v>
      </c>
      <c r="AO495" t="s">
        <v>129</v>
      </c>
      <c r="AP495" t="s">
        <v>130</v>
      </c>
      <c r="AQ495" t="s">
        <v>55</v>
      </c>
    </row>
    <row r="496" spans="1:43" x14ac:dyDescent="0.3">
      <c r="A496" t="s">
        <v>43</v>
      </c>
      <c r="B496">
        <v>1999</v>
      </c>
      <c r="C496">
        <v>535</v>
      </c>
      <c r="D496">
        <v>5311</v>
      </c>
      <c r="E496">
        <v>20</v>
      </c>
      <c r="F496">
        <v>202305</v>
      </c>
      <c r="G496">
        <v>2700249</v>
      </c>
      <c r="H496" t="s">
        <v>125</v>
      </c>
      <c r="I496" t="s">
        <v>45</v>
      </c>
      <c r="J496">
        <v>7</v>
      </c>
      <c r="K496">
        <f t="shared" ca="1" si="78"/>
        <v>10</v>
      </c>
      <c r="L496">
        <f t="shared" ca="1" si="79"/>
        <v>-54</v>
      </c>
      <c r="M496">
        <f t="shared" ca="1" si="80"/>
        <v>256</v>
      </c>
      <c r="N496">
        <f t="shared" ca="1" si="80"/>
        <v>310</v>
      </c>
      <c r="O496">
        <f t="shared" ca="1" si="77"/>
        <v>625</v>
      </c>
      <c r="P496">
        <f t="shared" ca="1" si="81"/>
        <v>1166</v>
      </c>
      <c r="Q496">
        <f t="shared" ca="1" si="82"/>
        <v>682</v>
      </c>
      <c r="R496">
        <f t="shared" ca="1" si="83"/>
        <v>341</v>
      </c>
      <c r="S496">
        <f t="shared" ca="1" si="84"/>
        <v>1326</v>
      </c>
      <c r="T496">
        <f t="shared" ca="1" si="85"/>
        <v>5842</v>
      </c>
      <c r="U496">
        <f t="shared" ca="1" si="86"/>
        <v>1199</v>
      </c>
      <c r="V496">
        <v>0</v>
      </c>
      <c r="W496">
        <v>0</v>
      </c>
      <c r="X496">
        <f t="shared" ca="1" si="87"/>
        <v>-44</v>
      </c>
      <c r="Y496">
        <v>0</v>
      </c>
      <c r="Z496">
        <v>0</v>
      </c>
      <c r="AA496">
        <v>0</v>
      </c>
      <c r="AB496" t="s">
        <v>136</v>
      </c>
      <c r="AC496" t="s">
        <v>272</v>
      </c>
      <c r="AD496">
        <v>1</v>
      </c>
      <c r="AE496">
        <v>52</v>
      </c>
      <c r="AF496">
        <v>2257</v>
      </c>
      <c r="AG496" t="s">
        <v>47</v>
      </c>
      <c r="AH496" t="s">
        <v>226</v>
      </c>
      <c r="AI496" t="s">
        <v>227</v>
      </c>
      <c r="AJ496" t="s">
        <v>50</v>
      </c>
      <c r="AK496" t="s">
        <v>51</v>
      </c>
      <c r="AL496">
        <v>3.6726999999999999</v>
      </c>
      <c r="AM496" t="s">
        <v>52</v>
      </c>
      <c r="AN496" t="s">
        <v>128</v>
      </c>
      <c r="AO496" t="s">
        <v>129</v>
      </c>
      <c r="AP496" t="s">
        <v>130</v>
      </c>
      <c r="AQ496" t="s">
        <v>55</v>
      </c>
    </row>
    <row r="497" spans="1:43" x14ac:dyDescent="0.3">
      <c r="A497" t="s">
        <v>43</v>
      </c>
      <c r="B497">
        <v>1999</v>
      </c>
      <c r="C497">
        <v>535</v>
      </c>
      <c r="D497">
        <v>5311</v>
      </c>
      <c r="E497">
        <v>20</v>
      </c>
      <c r="F497">
        <v>202305</v>
      </c>
      <c r="G497">
        <v>2800208</v>
      </c>
      <c r="H497" t="s">
        <v>125</v>
      </c>
      <c r="I497" t="s">
        <v>45</v>
      </c>
      <c r="J497">
        <v>7</v>
      </c>
      <c r="K497">
        <f t="shared" ca="1" si="78"/>
        <v>5</v>
      </c>
      <c r="L497">
        <f t="shared" ca="1" si="79"/>
        <v>-10</v>
      </c>
      <c r="M497">
        <f t="shared" ca="1" si="80"/>
        <v>187</v>
      </c>
      <c r="N497">
        <f t="shared" ca="1" si="80"/>
        <v>116</v>
      </c>
      <c r="O497">
        <f t="shared" ca="1" si="77"/>
        <v>-100</v>
      </c>
      <c r="P497">
        <f t="shared" ca="1" si="81"/>
        <v>335</v>
      </c>
      <c r="Q497">
        <f t="shared" ca="1" si="82"/>
        <v>1173</v>
      </c>
      <c r="R497">
        <f t="shared" ca="1" si="83"/>
        <v>310</v>
      </c>
      <c r="S497">
        <f t="shared" ca="1" si="84"/>
        <v>6000</v>
      </c>
      <c r="T497">
        <f t="shared" ca="1" si="85"/>
        <v>4009</v>
      </c>
      <c r="U497">
        <f t="shared" ca="1" si="86"/>
        <v>1154</v>
      </c>
      <c r="V497">
        <v>0</v>
      </c>
      <c r="W497">
        <v>0</v>
      </c>
      <c r="X497">
        <f t="shared" ca="1" si="87"/>
        <v>-264</v>
      </c>
      <c r="Y497">
        <v>0</v>
      </c>
      <c r="Z497">
        <v>0</v>
      </c>
      <c r="AA497">
        <v>0</v>
      </c>
      <c r="AB497" t="s">
        <v>138</v>
      </c>
      <c r="AC497" t="s">
        <v>273</v>
      </c>
      <c r="AD497">
        <v>1</v>
      </c>
      <c r="AE497">
        <v>52</v>
      </c>
      <c r="AF497">
        <v>2257</v>
      </c>
      <c r="AG497" t="s">
        <v>47</v>
      </c>
      <c r="AH497" t="s">
        <v>226</v>
      </c>
      <c r="AI497" t="s">
        <v>227</v>
      </c>
      <c r="AJ497" t="s">
        <v>50</v>
      </c>
      <c r="AK497" t="s">
        <v>51</v>
      </c>
      <c r="AL497">
        <v>3.6726999999999999</v>
      </c>
      <c r="AM497" t="s">
        <v>52</v>
      </c>
      <c r="AN497" t="s">
        <v>128</v>
      </c>
      <c r="AO497" t="s">
        <v>129</v>
      </c>
      <c r="AP497" t="s">
        <v>130</v>
      </c>
      <c r="AQ497" t="s">
        <v>55</v>
      </c>
    </row>
    <row r="498" spans="1:43" x14ac:dyDescent="0.3">
      <c r="A498" t="s">
        <v>43</v>
      </c>
      <c r="B498">
        <v>1999</v>
      </c>
      <c r="C498">
        <v>535</v>
      </c>
      <c r="D498">
        <v>5311</v>
      </c>
      <c r="E498">
        <v>20</v>
      </c>
      <c r="F498">
        <v>202305</v>
      </c>
      <c r="G498">
        <v>2800209</v>
      </c>
      <c r="H498" t="s">
        <v>125</v>
      </c>
      <c r="I498" t="s">
        <v>45</v>
      </c>
      <c r="J498">
        <v>7</v>
      </c>
      <c r="K498">
        <f t="shared" ca="1" si="78"/>
        <v>37</v>
      </c>
      <c r="L498">
        <f t="shared" ca="1" si="79"/>
        <v>48</v>
      </c>
      <c r="M498">
        <f t="shared" ca="1" si="80"/>
        <v>368</v>
      </c>
      <c r="N498">
        <f t="shared" ca="1" si="80"/>
        <v>488</v>
      </c>
      <c r="O498">
        <f t="shared" ca="1" si="77"/>
        <v>688</v>
      </c>
      <c r="P498">
        <f t="shared" ca="1" si="81"/>
        <v>1366</v>
      </c>
      <c r="Q498">
        <f t="shared" ca="1" si="82"/>
        <v>475</v>
      </c>
      <c r="R498">
        <f t="shared" ca="1" si="83"/>
        <v>414</v>
      </c>
      <c r="S498">
        <f t="shared" ca="1" si="84"/>
        <v>7018</v>
      </c>
      <c r="T498">
        <f t="shared" ca="1" si="85"/>
        <v>7648</v>
      </c>
      <c r="U498">
        <f t="shared" ca="1" si="86"/>
        <v>1269</v>
      </c>
      <c r="V498">
        <v>0</v>
      </c>
      <c r="W498">
        <v>0</v>
      </c>
      <c r="X498">
        <f t="shared" ca="1" si="87"/>
        <v>97</v>
      </c>
      <c r="Y498">
        <v>0</v>
      </c>
      <c r="Z498">
        <v>0</v>
      </c>
      <c r="AA498">
        <v>0</v>
      </c>
      <c r="AB498" t="s">
        <v>138</v>
      </c>
      <c r="AC498" t="s">
        <v>139</v>
      </c>
      <c r="AD498">
        <v>1</v>
      </c>
      <c r="AE498">
        <v>52</v>
      </c>
      <c r="AF498">
        <v>2257</v>
      </c>
      <c r="AG498" t="s">
        <v>47</v>
      </c>
      <c r="AH498" t="s">
        <v>226</v>
      </c>
      <c r="AI498" t="s">
        <v>227</v>
      </c>
      <c r="AJ498" t="s">
        <v>50</v>
      </c>
      <c r="AK498" t="s">
        <v>51</v>
      </c>
      <c r="AL498">
        <v>3.6726999999999999</v>
      </c>
      <c r="AM498" t="s">
        <v>52</v>
      </c>
      <c r="AN498" t="s">
        <v>128</v>
      </c>
      <c r="AO498" t="s">
        <v>129</v>
      </c>
      <c r="AP498" t="s">
        <v>130</v>
      </c>
      <c r="AQ498" t="s">
        <v>55</v>
      </c>
    </row>
    <row r="499" spans="1:43" x14ac:dyDescent="0.3">
      <c r="A499" t="s">
        <v>43</v>
      </c>
      <c r="B499">
        <v>1999</v>
      </c>
      <c r="C499">
        <v>535</v>
      </c>
      <c r="D499">
        <v>5311</v>
      </c>
      <c r="E499">
        <v>20</v>
      </c>
      <c r="F499">
        <v>202305</v>
      </c>
      <c r="G499">
        <v>2800211</v>
      </c>
      <c r="H499" t="s">
        <v>125</v>
      </c>
      <c r="I499" t="s">
        <v>45</v>
      </c>
      <c r="J499">
        <v>7</v>
      </c>
      <c r="K499">
        <f t="shared" ca="1" si="78"/>
        <v>59</v>
      </c>
      <c r="L499">
        <f t="shared" ca="1" si="79"/>
        <v>29</v>
      </c>
      <c r="M499">
        <f t="shared" ca="1" si="80"/>
        <v>125</v>
      </c>
      <c r="N499">
        <f t="shared" ca="1" si="80"/>
        <v>491</v>
      </c>
      <c r="O499">
        <f t="shared" ca="1" si="77"/>
        <v>389</v>
      </c>
      <c r="P499">
        <f t="shared" ca="1" si="81"/>
        <v>349</v>
      </c>
      <c r="Q499">
        <f t="shared" ca="1" si="82"/>
        <v>1039</v>
      </c>
      <c r="R499">
        <f t="shared" ca="1" si="83"/>
        <v>434</v>
      </c>
      <c r="S499">
        <f t="shared" ca="1" si="84"/>
        <v>1109</v>
      </c>
      <c r="T499">
        <f t="shared" ca="1" si="85"/>
        <v>3530</v>
      </c>
      <c r="U499">
        <f t="shared" ca="1" si="86"/>
        <v>575</v>
      </c>
      <c r="V499">
        <v>0</v>
      </c>
      <c r="W499">
        <v>0</v>
      </c>
      <c r="X499">
        <f t="shared" ca="1" si="87"/>
        <v>-127</v>
      </c>
      <c r="Y499">
        <v>0</v>
      </c>
      <c r="Z499">
        <v>0</v>
      </c>
      <c r="AA499">
        <v>0</v>
      </c>
      <c r="AB499" t="s">
        <v>138</v>
      </c>
      <c r="AC499" t="s">
        <v>140</v>
      </c>
      <c r="AD499">
        <v>1</v>
      </c>
      <c r="AE499">
        <v>52</v>
      </c>
      <c r="AF499">
        <v>2257</v>
      </c>
      <c r="AG499" t="s">
        <v>47</v>
      </c>
      <c r="AH499" t="s">
        <v>226</v>
      </c>
      <c r="AI499" t="s">
        <v>227</v>
      </c>
      <c r="AJ499" t="s">
        <v>50</v>
      </c>
      <c r="AK499" t="s">
        <v>51</v>
      </c>
      <c r="AL499">
        <v>3.6726999999999999</v>
      </c>
      <c r="AM499" t="s">
        <v>52</v>
      </c>
      <c r="AN499" t="s">
        <v>128</v>
      </c>
      <c r="AO499" t="s">
        <v>129</v>
      </c>
      <c r="AP499" t="s">
        <v>130</v>
      </c>
      <c r="AQ499" t="s">
        <v>55</v>
      </c>
    </row>
    <row r="500" spans="1:43" x14ac:dyDescent="0.3">
      <c r="A500" t="s">
        <v>43</v>
      </c>
      <c r="B500">
        <v>1999</v>
      </c>
      <c r="C500">
        <v>535</v>
      </c>
      <c r="D500">
        <v>5311</v>
      </c>
      <c r="E500">
        <v>20</v>
      </c>
      <c r="F500">
        <v>202305</v>
      </c>
      <c r="G500">
        <v>2800213</v>
      </c>
      <c r="H500" t="s">
        <v>125</v>
      </c>
      <c r="I500" t="s">
        <v>45</v>
      </c>
      <c r="J500">
        <v>7</v>
      </c>
      <c r="K500">
        <f t="shared" ca="1" si="78"/>
        <v>88</v>
      </c>
      <c r="L500">
        <f t="shared" ca="1" si="79"/>
        <v>69</v>
      </c>
      <c r="M500">
        <f t="shared" ca="1" si="80"/>
        <v>-53</v>
      </c>
      <c r="N500">
        <f t="shared" ca="1" si="80"/>
        <v>346</v>
      </c>
      <c r="O500">
        <f t="shared" ca="1" si="77"/>
        <v>265</v>
      </c>
      <c r="P500">
        <f t="shared" ca="1" si="81"/>
        <v>531</v>
      </c>
      <c r="Q500">
        <f t="shared" ca="1" si="82"/>
        <v>257</v>
      </c>
      <c r="R500">
        <f t="shared" ca="1" si="83"/>
        <v>366</v>
      </c>
      <c r="S500">
        <f t="shared" ca="1" si="84"/>
        <v>2587</v>
      </c>
      <c r="T500">
        <f t="shared" ca="1" si="85"/>
        <v>3089</v>
      </c>
      <c r="U500">
        <f t="shared" ca="1" si="86"/>
        <v>413</v>
      </c>
      <c r="V500">
        <v>0</v>
      </c>
      <c r="W500">
        <v>0</v>
      </c>
      <c r="X500">
        <f t="shared" ca="1" si="87"/>
        <v>-297</v>
      </c>
      <c r="Y500">
        <v>0</v>
      </c>
      <c r="Z500">
        <v>0</v>
      </c>
      <c r="AA500">
        <v>0</v>
      </c>
      <c r="AB500" t="s">
        <v>138</v>
      </c>
      <c r="AC500" t="s">
        <v>274</v>
      </c>
      <c r="AD500">
        <v>1</v>
      </c>
      <c r="AE500">
        <v>52</v>
      </c>
      <c r="AF500">
        <v>2257</v>
      </c>
      <c r="AG500" t="s">
        <v>47</v>
      </c>
      <c r="AH500" t="s">
        <v>226</v>
      </c>
      <c r="AI500" t="s">
        <v>227</v>
      </c>
      <c r="AJ500" t="s">
        <v>50</v>
      </c>
      <c r="AK500" t="s">
        <v>51</v>
      </c>
      <c r="AL500">
        <v>3.6726999999999999</v>
      </c>
      <c r="AM500" t="s">
        <v>52</v>
      </c>
      <c r="AN500" t="s">
        <v>128</v>
      </c>
      <c r="AO500" t="s">
        <v>129</v>
      </c>
      <c r="AP500" t="s">
        <v>130</v>
      </c>
      <c r="AQ500" t="s">
        <v>55</v>
      </c>
    </row>
    <row r="501" spans="1:43" x14ac:dyDescent="0.3">
      <c r="A501" t="s">
        <v>43</v>
      </c>
      <c r="B501">
        <v>1999</v>
      </c>
      <c r="C501">
        <v>535</v>
      </c>
      <c r="D501">
        <v>5311</v>
      </c>
      <c r="E501">
        <v>20</v>
      </c>
      <c r="F501">
        <v>202305</v>
      </c>
      <c r="G501">
        <v>2800220</v>
      </c>
      <c r="H501" t="s">
        <v>125</v>
      </c>
      <c r="I501" t="s">
        <v>45</v>
      </c>
      <c r="J501">
        <v>7</v>
      </c>
      <c r="K501">
        <f t="shared" ca="1" si="78"/>
        <v>38</v>
      </c>
      <c r="L501">
        <f t="shared" ca="1" si="79"/>
        <v>-37</v>
      </c>
      <c r="M501">
        <f t="shared" ca="1" si="80"/>
        <v>-49</v>
      </c>
      <c r="N501">
        <f t="shared" ca="1" si="80"/>
        <v>-87</v>
      </c>
      <c r="O501">
        <f t="shared" ca="1" si="77"/>
        <v>683</v>
      </c>
      <c r="P501">
        <f t="shared" ca="1" si="81"/>
        <v>974</v>
      </c>
      <c r="Q501">
        <f t="shared" ca="1" si="82"/>
        <v>1108</v>
      </c>
      <c r="R501">
        <f t="shared" ca="1" si="83"/>
        <v>22</v>
      </c>
      <c r="S501">
        <f t="shared" ca="1" si="84"/>
        <v>3550</v>
      </c>
      <c r="T501">
        <f t="shared" ca="1" si="85"/>
        <v>2587</v>
      </c>
      <c r="U501">
        <f t="shared" ca="1" si="86"/>
        <v>1184</v>
      </c>
      <c r="V501">
        <v>0</v>
      </c>
      <c r="W501">
        <v>0</v>
      </c>
      <c r="X501">
        <f t="shared" ca="1" si="87"/>
        <v>-259</v>
      </c>
      <c r="Y501">
        <v>0</v>
      </c>
      <c r="Z501">
        <v>0</v>
      </c>
      <c r="AA501">
        <v>0</v>
      </c>
      <c r="AB501" t="s">
        <v>138</v>
      </c>
      <c r="AC501" t="s">
        <v>141</v>
      </c>
      <c r="AD501">
        <v>1</v>
      </c>
      <c r="AE501">
        <v>52</v>
      </c>
      <c r="AF501">
        <v>2257</v>
      </c>
      <c r="AG501" t="s">
        <v>47</v>
      </c>
      <c r="AH501" t="s">
        <v>226</v>
      </c>
      <c r="AI501" t="s">
        <v>227</v>
      </c>
      <c r="AJ501" t="s">
        <v>50</v>
      </c>
      <c r="AK501" t="s">
        <v>51</v>
      </c>
      <c r="AL501">
        <v>3.6726999999999999</v>
      </c>
      <c r="AM501" t="s">
        <v>52</v>
      </c>
      <c r="AN501" t="s">
        <v>128</v>
      </c>
      <c r="AO501" t="s">
        <v>129</v>
      </c>
      <c r="AP501" t="s">
        <v>130</v>
      </c>
      <c r="AQ501" t="s">
        <v>55</v>
      </c>
    </row>
    <row r="502" spans="1:43" x14ac:dyDescent="0.3">
      <c r="A502" t="s">
        <v>43</v>
      </c>
      <c r="B502">
        <v>1999</v>
      </c>
      <c r="C502">
        <v>535</v>
      </c>
      <c r="D502">
        <v>5311</v>
      </c>
      <c r="E502">
        <v>20</v>
      </c>
      <c r="F502">
        <v>202305</v>
      </c>
      <c r="G502">
        <v>2800250</v>
      </c>
      <c r="H502" t="s">
        <v>125</v>
      </c>
      <c r="I502" t="s">
        <v>45</v>
      </c>
      <c r="J502">
        <v>7</v>
      </c>
      <c r="K502">
        <f t="shared" ca="1" si="78"/>
        <v>92</v>
      </c>
      <c r="L502">
        <f t="shared" ca="1" si="79"/>
        <v>-84</v>
      </c>
      <c r="M502">
        <f t="shared" ca="1" si="80"/>
        <v>-93</v>
      </c>
      <c r="N502">
        <f t="shared" ca="1" si="80"/>
        <v>360</v>
      </c>
      <c r="O502">
        <f t="shared" ca="1" si="77"/>
        <v>628</v>
      </c>
      <c r="P502">
        <f t="shared" ca="1" si="81"/>
        <v>405</v>
      </c>
      <c r="Q502">
        <f t="shared" ca="1" si="82"/>
        <v>170</v>
      </c>
      <c r="R502">
        <f t="shared" ca="1" si="83"/>
        <v>488</v>
      </c>
      <c r="S502">
        <f t="shared" ca="1" si="84"/>
        <v>5902</v>
      </c>
      <c r="T502">
        <f t="shared" ca="1" si="85"/>
        <v>6708</v>
      </c>
      <c r="U502">
        <f t="shared" ca="1" si="86"/>
        <v>374</v>
      </c>
      <c r="V502">
        <v>0</v>
      </c>
      <c r="W502">
        <v>0</v>
      </c>
      <c r="X502">
        <f t="shared" ca="1" si="87"/>
        <v>-9</v>
      </c>
      <c r="Y502">
        <v>0</v>
      </c>
      <c r="Z502">
        <v>0</v>
      </c>
      <c r="AA502">
        <v>2</v>
      </c>
      <c r="AB502" t="s">
        <v>138</v>
      </c>
      <c r="AC502" t="s">
        <v>142</v>
      </c>
      <c r="AD502">
        <v>1</v>
      </c>
      <c r="AE502">
        <v>52</v>
      </c>
      <c r="AF502">
        <v>2257</v>
      </c>
      <c r="AG502" t="s">
        <v>47</v>
      </c>
      <c r="AH502" t="s">
        <v>226</v>
      </c>
      <c r="AI502" t="s">
        <v>227</v>
      </c>
      <c r="AJ502" t="s">
        <v>50</v>
      </c>
      <c r="AK502" t="s">
        <v>51</v>
      </c>
      <c r="AL502">
        <v>3.6726999999999999</v>
      </c>
      <c r="AM502" t="s">
        <v>52</v>
      </c>
      <c r="AN502" t="s">
        <v>128</v>
      </c>
      <c r="AO502" t="s">
        <v>129</v>
      </c>
      <c r="AP502" t="s">
        <v>130</v>
      </c>
      <c r="AQ502" t="s">
        <v>55</v>
      </c>
    </row>
    <row r="503" spans="1:43" x14ac:dyDescent="0.3">
      <c r="A503" t="s">
        <v>43</v>
      </c>
      <c r="B503">
        <v>1999</v>
      </c>
      <c r="C503">
        <v>535</v>
      </c>
      <c r="D503">
        <v>5311</v>
      </c>
      <c r="E503">
        <v>20</v>
      </c>
      <c r="F503">
        <v>202305</v>
      </c>
      <c r="G503">
        <v>2800254</v>
      </c>
      <c r="H503" t="s">
        <v>125</v>
      </c>
      <c r="I503" t="s">
        <v>45</v>
      </c>
      <c r="J503">
        <v>7</v>
      </c>
      <c r="K503">
        <f t="shared" ca="1" si="78"/>
        <v>3</v>
      </c>
      <c r="L503">
        <f t="shared" ca="1" si="79"/>
        <v>-93</v>
      </c>
      <c r="M503">
        <f t="shared" ca="1" si="80"/>
        <v>438</v>
      </c>
      <c r="N503">
        <f t="shared" ca="1" si="80"/>
        <v>-9</v>
      </c>
      <c r="O503">
        <f t="shared" ca="1" si="77"/>
        <v>83</v>
      </c>
      <c r="P503">
        <f t="shared" ca="1" si="81"/>
        <v>831</v>
      </c>
      <c r="Q503">
        <f t="shared" ca="1" si="82"/>
        <v>203</v>
      </c>
      <c r="R503">
        <f t="shared" ca="1" si="83"/>
        <v>203</v>
      </c>
      <c r="S503">
        <f t="shared" ca="1" si="84"/>
        <v>14330</v>
      </c>
      <c r="T503">
        <f t="shared" ca="1" si="85"/>
        <v>2667</v>
      </c>
      <c r="U503">
        <f t="shared" ca="1" si="86"/>
        <v>-17</v>
      </c>
      <c r="V503">
        <v>0</v>
      </c>
      <c r="W503">
        <v>0</v>
      </c>
      <c r="X503">
        <f t="shared" ca="1" si="87"/>
        <v>-14</v>
      </c>
      <c r="Y503">
        <v>0</v>
      </c>
      <c r="Z503">
        <v>0</v>
      </c>
      <c r="AA503">
        <v>0</v>
      </c>
      <c r="AB503" t="s">
        <v>138</v>
      </c>
      <c r="AC503" t="s">
        <v>143</v>
      </c>
      <c r="AD503">
        <v>1</v>
      </c>
      <c r="AE503">
        <v>52</v>
      </c>
      <c r="AF503">
        <v>2257</v>
      </c>
      <c r="AG503" t="s">
        <v>47</v>
      </c>
      <c r="AH503" t="s">
        <v>226</v>
      </c>
      <c r="AI503" t="s">
        <v>227</v>
      </c>
      <c r="AJ503" t="s">
        <v>50</v>
      </c>
      <c r="AK503" t="s">
        <v>51</v>
      </c>
      <c r="AL503">
        <v>3.6726999999999999</v>
      </c>
      <c r="AM503" t="s">
        <v>52</v>
      </c>
      <c r="AN503" t="s">
        <v>128</v>
      </c>
      <c r="AO503" t="s">
        <v>129</v>
      </c>
      <c r="AP503" t="s">
        <v>130</v>
      </c>
      <c r="AQ503" t="s">
        <v>55</v>
      </c>
    </row>
    <row r="504" spans="1:43" x14ac:dyDescent="0.3">
      <c r="A504" t="s">
        <v>43</v>
      </c>
      <c r="B504">
        <v>1999</v>
      </c>
      <c r="C504">
        <v>535</v>
      </c>
      <c r="D504">
        <v>5311</v>
      </c>
      <c r="E504">
        <v>20</v>
      </c>
      <c r="F504">
        <v>202305</v>
      </c>
      <c r="G504">
        <v>2800270</v>
      </c>
      <c r="H504" t="s">
        <v>125</v>
      </c>
      <c r="I504" t="s">
        <v>45</v>
      </c>
      <c r="J504">
        <v>7</v>
      </c>
      <c r="K504">
        <f t="shared" ca="1" si="78"/>
        <v>38</v>
      </c>
      <c r="L504">
        <f t="shared" ca="1" si="79"/>
        <v>-86</v>
      </c>
      <c r="M504">
        <f t="shared" ca="1" si="80"/>
        <v>481</v>
      </c>
      <c r="N504">
        <f t="shared" ca="1" si="80"/>
        <v>392</v>
      </c>
      <c r="O504">
        <f t="shared" ca="1" si="77"/>
        <v>938</v>
      </c>
      <c r="P504">
        <f t="shared" ca="1" si="81"/>
        <v>1251</v>
      </c>
      <c r="Q504">
        <f t="shared" ca="1" si="82"/>
        <v>616</v>
      </c>
      <c r="R504">
        <f t="shared" ca="1" si="83"/>
        <v>204</v>
      </c>
      <c r="S504">
        <f t="shared" ca="1" si="84"/>
        <v>12760</v>
      </c>
      <c r="T504">
        <f t="shared" ca="1" si="85"/>
        <v>6971</v>
      </c>
      <c r="U504">
        <f t="shared" ca="1" si="86"/>
        <v>364</v>
      </c>
      <c r="V504">
        <v>0</v>
      </c>
      <c r="W504">
        <v>0</v>
      </c>
      <c r="X504">
        <f t="shared" ca="1" si="87"/>
        <v>-302</v>
      </c>
      <c r="Y504">
        <v>0</v>
      </c>
      <c r="Z504">
        <v>0</v>
      </c>
      <c r="AA504">
        <v>0</v>
      </c>
      <c r="AB504" t="s">
        <v>138</v>
      </c>
      <c r="AC504" t="s">
        <v>144</v>
      </c>
      <c r="AD504">
        <v>1</v>
      </c>
      <c r="AE504">
        <v>52</v>
      </c>
      <c r="AF504">
        <v>2257</v>
      </c>
      <c r="AG504" t="s">
        <v>47</v>
      </c>
      <c r="AH504" t="s">
        <v>226</v>
      </c>
      <c r="AI504" t="s">
        <v>227</v>
      </c>
      <c r="AJ504" t="s">
        <v>50</v>
      </c>
      <c r="AK504" t="s">
        <v>51</v>
      </c>
      <c r="AL504">
        <v>3.6726999999999999</v>
      </c>
      <c r="AM504" t="s">
        <v>52</v>
      </c>
      <c r="AN504" t="s">
        <v>128</v>
      </c>
      <c r="AO504" t="s">
        <v>129</v>
      </c>
      <c r="AP504" t="s">
        <v>130</v>
      </c>
      <c r="AQ504" t="s">
        <v>55</v>
      </c>
    </row>
    <row r="505" spans="1:43" x14ac:dyDescent="0.3">
      <c r="A505" t="s">
        <v>43</v>
      </c>
      <c r="B505">
        <v>1999</v>
      </c>
      <c r="C505">
        <v>535</v>
      </c>
      <c r="D505">
        <v>5311</v>
      </c>
      <c r="E505">
        <v>20</v>
      </c>
      <c r="F505">
        <v>202305</v>
      </c>
      <c r="G505">
        <v>2800272</v>
      </c>
      <c r="H505" t="s">
        <v>125</v>
      </c>
      <c r="I505" t="s">
        <v>45</v>
      </c>
      <c r="J505">
        <v>7</v>
      </c>
      <c r="K505">
        <f t="shared" ca="1" si="78"/>
        <v>96</v>
      </c>
      <c r="L505">
        <f t="shared" ca="1" si="79"/>
        <v>-20</v>
      </c>
      <c r="M505">
        <f t="shared" ca="1" si="80"/>
        <v>31</v>
      </c>
      <c r="N505">
        <f t="shared" ca="1" si="80"/>
        <v>90</v>
      </c>
      <c r="O505">
        <f t="shared" ca="1" si="77"/>
        <v>928</v>
      </c>
      <c r="P505">
        <f t="shared" ca="1" si="81"/>
        <v>133</v>
      </c>
      <c r="Q505">
        <f t="shared" ca="1" si="82"/>
        <v>1092</v>
      </c>
      <c r="R505">
        <f t="shared" ca="1" si="83"/>
        <v>-42</v>
      </c>
      <c r="S505">
        <f t="shared" ca="1" si="84"/>
        <v>12916</v>
      </c>
      <c r="T505">
        <f t="shared" ca="1" si="85"/>
        <v>1505</v>
      </c>
      <c r="U505">
        <f t="shared" ca="1" si="86"/>
        <v>1179</v>
      </c>
      <c r="V505">
        <v>0</v>
      </c>
      <c r="W505">
        <v>0</v>
      </c>
      <c r="X505">
        <f t="shared" ca="1" si="87"/>
        <v>-346</v>
      </c>
      <c r="Y505">
        <v>0</v>
      </c>
      <c r="Z505">
        <v>0</v>
      </c>
      <c r="AA505">
        <v>0</v>
      </c>
      <c r="AB505" t="s">
        <v>138</v>
      </c>
      <c r="AC505" t="s">
        <v>220</v>
      </c>
      <c r="AD505">
        <v>1</v>
      </c>
      <c r="AE505">
        <v>52</v>
      </c>
      <c r="AF505">
        <v>2257</v>
      </c>
      <c r="AG505" t="s">
        <v>47</v>
      </c>
      <c r="AH505" t="s">
        <v>226</v>
      </c>
      <c r="AI505" t="s">
        <v>227</v>
      </c>
      <c r="AJ505" t="s">
        <v>50</v>
      </c>
      <c r="AK505" t="s">
        <v>51</v>
      </c>
      <c r="AL505">
        <v>3.6726999999999999</v>
      </c>
      <c r="AM505" t="s">
        <v>52</v>
      </c>
      <c r="AN505" t="s">
        <v>128</v>
      </c>
      <c r="AO505" t="s">
        <v>129</v>
      </c>
      <c r="AP505" t="s">
        <v>130</v>
      </c>
      <c r="AQ505" t="s">
        <v>55</v>
      </c>
    </row>
    <row r="506" spans="1:43" x14ac:dyDescent="0.3">
      <c r="A506" t="s">
        <v>43</v>
      </c>
      <c r="B506">
        <v>1999</v>
      </c>
      <c r="C506">
        <v>535</v>
      </c>
      <c r="D506">
        <v>5311</v>
      </c>
      <c r="E506">
        <v>20</v>
      </c>
      <c r="F506">
        <v>202305</v>
      </c>
      <c r="G506">
        <v>2900260</v>
      </c>
      <c r="H506" t="s">
        <v>125</v>
      </c>
      <c r="I506" t="s">
        <v>45</v>
      </c>
      <c r="J506">
        <v>7</v>
      </c>
      <c r="K506">
        <f t="shared" ca="1" si="78"/>
        <v>48</v>
      </c>
      <c r="L506">
        <f t="shared" ca="1" si="79"/>
        <v>94</v>
      </c>
      <c r="M506">
        <f t="shared" ca="1" si="80"/>
        <v>101</v>
      </c>
      <c r="N506">
        <f t="shared" ca="1" si="80"/>
        <v>-79</v>
      </c>
      <c r="O506">
        <f t="shared" ca="1" si="77"/>
        <v>23</v>
      </c>
      <c r="P506">
        <f t="shared" ca="1" si="81"/>
        <v>563</v>
      </c>
      <c r="Q506">
        <f t="shared" ca="1" si="82"/>
        <v>357</v>
      </c>
      <c r="R506">
        <f t="shared" ca="1" si="83"/>
        <v>469</v>
      </c>
      <c r="S506">
        <f t="shared" ca="1" si="84"/>
        <v>14578</v>
      </c>
      <c r="T506">
        <f t="shared" ca="1" si="85"/>
        <v>1295</v>
      </c>
      <c r="U506">
        <f t="shared" ca="1" si="86"/>
        <v>763</v>
      </c>
      <c r="V506">
        <v>0</v>
      </c>
      <c r="W506">
        <v>0</v>
      </c>
      <c r="X506">
        <f t="shared" ca="1" si="87"/>
        <v>88</v>
      </c>
      <c r="Y506">
        <v>0</v>
      </c>
      <c r="Z506">
        <v>0</v>
      </c>
      <c r="AA506">
        <v>3</v>
      </c>
      <c r="AB506" t="s">
        <v>145</v>
      </c>
      <c r="AC506" t="s">
        <v>146</v>
      </c>
      <c r="AD506">
        <v>1</v>
      </c>
      <c r="AE506">
        <v>52</v>
      </c>
      <c r="AF506">
        <v>2257</v>
      </c>
      <c r="AG506" t="s">
        <v>47</v>
      </c>
      <c r="AH506" t="s">
        <v>226</v>
      </c>
      <c r="AI506" t="s">
        <v>227</v>
      </c>
      <c r="AJ506" t="s">
        <v>50</v>
      </c>
      <c r="AK506" t="s">
        <v>51</v>
      </c>
      <c r="AL506">
        <v>3.6726999999999999</v>
      </c>
      <c r="AM506" t="s">
        <v>52</v>
      </c>
      <c r="AN506" t="s">
        <v>128</v>
      </c>
      <c r="AO506" t="s">
        <v>129</v>
      </c>
      <c r="AP506" t="s">
        <v>130</v>
      </c>
      <c r="AQ506" t="s">
        <v>55</v>
      </c>
    </row>
    <row r="507" spans="1:43" x14ac:dyDescent="0.3">
      <c r="A507" t="s">
        <v>43</v>
      </c>
      <c r="B507">
        <v>1999</v>
      </c>
      <c r="C507">
        <v>535</v>
      </c>
      <c r="D507">
        <v>5311</v>
      </c>
      <c r="E507">
        <v>20</v>
      </c>
      <c r="F507">
        <v>202305</v>
      </c>
      <c r="G507">
        <v>2900261</v>
      </c>
      <c r="H507" t="s">
        <v>125</v>
      </c>
      <c r="I507" t="s">
        <v>45</v>
      </c>
      <c r="J507">
        <v>7</v>
      </c>
      <c r="K507">
        <f t="shared" ca="1" si="78"/>
        <v>37</v>
      </c>
      <c r="L507">
        <f t="shared" ca="1" si="79"/>
        <v>51</v>
      </c>
      <c r="M507">
        <f t="shared" ca="1" si="80"/>
        <v>169</v>
      </c>
      <c r="N507">
        <f t="shared" ca="1" si="80"/>
        <v>442</v>
      </c>
      <c r="O507">
        <f t="shared" ca="1" si="77"/>
        <v>854</v>
      </c>
      <c r="P507">
        <f t="shared" ca="1" si="81"/>
        <v>197</v>
      </c>
      <c r="Q507">
        <f t="shared" ca="1" si="82"/>
        <v>1038</v>
      </c>
      <c r="R507">
        <f t="shared" ca="1" si="83"/>
        <v>25</v>
      </c>
      <c r="S507">
        <f t="shared" ca="1" si="84"/>
        <v>9925</v>
      </c>
      <c r="T507">
        <f t="shared" ca="1" si="85"/>
        <v>6410</v>
      </c>
      <c r="U507">
        <f t="shared" ca="1" si="86"/>
        <v>449</v>
      </c>
      <c r="V507">
        <v>0</v>
      </c>
      <c r="W507">
        <v>0</v>
      </c>
      <c r="X507">
        <f t="shared" ca="1" si="87"/>
        <v>-4</v>
      </c>
      <c r="Y507">
        <v>0</v>
      </c>
      <c r="Z507">
        <v>0</v>
      </c>
      <c r="AA507">
        <v>23</v>
      </c>
      <c r="AB507" t="s">
        <v>145</v>
      </c>
      <c r="AC507" t="s">
        <v>147</v>
      </c>
      <c r="AD507">
        <v>1</v>
      </c>
      <c r="AE507">
        <v>52</v>
      </c>
      <c r="AF507">
        <v>2257</v>
      </c>
      <c r="AG507" t="s">
        <v>47</v>
      </c>
      <c r="AH507" t="s">
        <v>226</v>
      </c>
      <c r="AI507" t="s">
        <v>227</v>
      </c>
      <c r="AJ507" t="s">
        <v>50</v>
      </c>
      <c r="AK507" t="s">
        <v>51</v>
      </c>
      <c r="AL507">
        <v>3.6726999999999999</v>
      </c>
      <c r="AM507" t="s">
        <v>52</v>
      </c>
      <c r="AN507" t="s">
        <v>128</v>
      </c>
      <c r="AO507" t="s">
        <v>129</v>
      </c>
      <c r="AP507" t="s">
        <v>130</v>
      </c>
      <c r="AQ507" t="s">
        <v>55</v>
      </c>
    </row>
    <row r="508" spans="1:43" x14ac:dyDescent="0.3">
      <c r="A508" t="s">
        <v>43</v>
      </c>
      <c r="B508">
        <v>1999</v>
      </c>
      <c r="C508">
        <v>535</v>
      </c>
      <c r="D508">
        <v>5311</v>
      </c>
      <c r="E508">
        <v>20</v>
      </c>
      <c r="F508">
        <v>202305</v>
      </c>
      <c r="G508">
        <v>2900265</v>
      </c>
      <c r="H508" t="s">
        <v>125</v>
      </c>
      <c r="I508" t="s">
        <v>45</v>
      </c>
      <c r="J508">
        <v>7</v>
      </c>
      <c r="K508">
        <f t="shared" ca="1" si="78"/>
        <v>56</v>
      </c>
      <c r="L508">
        <f t="shared" ca="1" si="79"/>
        <v>-26</v>
      </c>
      <c r="M508">
        <f t="shared" ca="1" si="80"/>
        <v>90</v>
      </c>
      <c r="N508">
        <f t="shared" ca="1" si="80"/>
        <v>312</v>
      </c>
      <c r="O508">
        <f t="shared" ca="1" si="77"/>
        <v>196</v>
      </c>
      <c r="P508">
        <f t="shared" ca="1" si="81"/>
        <v>1292</v>
      </c>
      <c r="Q508">
        <f t="shared" ca="1" si="82"/>
        <v>392</v>
      </c>
      <c r="R508">
        <f t="shared" ca="1" si="83"/>
        <v>76</v>
      </c>
      <c r="S508">
        <f t="shared" ca="1" si="84"/>
        <v>13612</v>
      </c>
      <c r="T508">
        <f t="shared" ca="1" si="85"/>
        <v>3611</v>
      </c>
      <c r="U508">
        <f t="shared" ca="1" si="86"/>
        <v>831</v>
      </c>
      <c r="V508">
        <v>0</v>
      </c>
      <c r="W508">
        <v>0</v>
      </c>
      <c r="X508">
        <f t="shared" ca="1" si="87"/>
        <v>33</v>
      </c>
      <c r="Y508">
        <v>0</v>
      </c>
      <c r="Z508">
        <v>0</v>
      </c>
      <c r="AA508">
        <v>0</v>
      </c>
      <c r="AB508" t="s">
        <v>145</v>
      </c>
      <c r="AC508" t="s">
        <v>148</v>
      </c>
      <c r="AD508">
        <v>1</v>
      </c>
      <c r="AE508">
        <v>52</v>
      </c>
      <c r="AF508">
        <v>2257</v>
      </c>
      <c r="AG508" t="s">
        <v>47</v>
      </c>
      <c r="AH508" t="s">
        <v>226</v>
      </c>
      <c r="AI508" t="s">
        <v>227</v>
      </c>
      <c r="AJ508" t="s">
        <v>50</v>
      </c>
      <c r="AK508" t="s">
        <v>51</v>
      </c>
      <c r="AL508">
        <v>3.6726999999999999</v>
      </c>
      <c r="AM508" t="s">
        <v>52</v>
      </c>
      <c r="AN508" t="s">
        <v>128</v>
      </c>
      <c r="AO508" t="s">
        <v>129</v>
      </c>
      <c r="AP508" t="s">
        <v>130</v>
      </c>
      <c r="AQ508" t="s">
        <v>55</v>
      </c>
    </row>
    <row r="509" spans="1:43" x14ac:dyDescent="0.3">
      <c r="A509" t="s">
        <v>43</v>
      </c>
      <c r="B509">
        <v>1999</v>
      </c>
      <c r="C509">
        <v>535</v>
      </c>
      <c r="D509">
        <v>5311</v>
      </c>
      <c r="E509">
        <v>20</v>
      </c>
      <c r="F509">
        <v>202305</v>
      </c>
      <c r="G509">
        <v>3000269</v>
      </c>
      <c r="H509" t="s">
        <v>125</v>
      </c>
      <c r="I509" t="s">
        <v>45</v>
      </c>
      <c r="J509">
        <v>7</v>
      </c>
      <c r="K509">
        <f t="shared" ca="1" si="78"/>
        <v>47</v>
      </c>
      <c r="L509">
        <f t="shared" ca="1" si="79"/>
        <v>21</v>
      </c>
      <c r="M509">
        <f t="shared" ca="1" si="80"/>
        <v>240</v>
      </c>
      <c r="N509">
        <f t="shared" ca="1" si="80"/>
        <v>152</v>
      </c>
      <c r="O509">
        <f t="shared" ca="1" si="77"/>
        <v>196</v>
      </c>
      <c r="P509">
        <f t="shared" ca="1" si="81"/>
        <v>-142</v>
      </c>
      <c r="Q509">
        <f t="shared" ca="1" si="82"/>
        <v>694</v>
      </c>
      <c r="R509">
        <f t="shared" ca="1" si="83"/>
        <v>239</v>
      </c>
      <c r="S509">
        <f t="shared" ca="1" si="84"/>
        <v>8699</v>
      </c>
      <c r="T509">
        <f t="shared" ca="1" si="85"/>
        <v>1152</v>
      </c>
      <c r="U509">
        <f t="shared" ca="1" si="86"/>
        <v>35</v>
      </c>
      <c r="V509">
        <v>0</v>
      </c>
      <c r="W509">
        <v>0</v>
      </c>
      <c r="X509">
        <f t="shared" ca="1" si="87"/>
        <v>28</v>
      </c>
      <c r="Y509">
        <v>0</v>
      </c>
      <c r="Z509">
        <v>0</v>
      </c>
      <c r="AA509">
        <v>0</v>
      </c>
      <c r="AB509" t="s">
        <v>275</v>
      </c>
      <c r="AC509" t="s">
        <v>276</v>
      </c>
      <c r="AD509">
        <v>1</v>
      </c>
      <c r="AE509">
        <v>52</v>
      </c>
      <c r="AF509">
        <v>2257</v>
      </c>
      <c r="AG509" t="s">
        <v>47</v>
      </c>
      <c r="AH509" t="s">
        <v>226</v>
      </c>
      <c r="AI509" t="s">
        <v>227</v>
      </c>
      <c r="AJ509" t="s">
        <v>50</v>
      </c>
      <c r="AK509" t="s">
        <v>51</v>
      </c>
      <c r="AL509">
        <v>3.6726999999999999</v>
      </c>
      <c r="AM509" t="s">
        <v>52</v>
      </c>
      <c r="AN509" t="s">
        <v>128</v>
      </c>
      <c r="AO509" t="s">
        <v>129</v>
      </c>
      <c r="AP509" t="s">
        <v>130</v>
      </c>
      <c r="AQ509" t="s">
        <v>55</v>
      </c>
    </row>
    <row r="510" spans="1:43" x14ac:dyDescent="0.3">
      <c r="A510" t="s">
        <v>43</v>
      </c>
      <c r="B510">
        <v>1999</v>
      </c>
      <c r="C510">
        <v>535</v>
      </c>
      <c r="D510">
        <v>5411</v>
      </c>
      <c r="E510">
        <v>6</v>
      </c>
      <c r="F510">
        <v>202305</v>
      </c>
      <c r="G510">
        <v>300025</v>
      </c>
      <c r="H510" t="s">
        <v>150</v>
      </c>
      <c r="I510" t="s">
        <v>45</v>
      </c>
      <c r="J510">
        <v>7</v>
      </c>
      <c r="K510">
        <f t="shared" ca="1" si="78"/>
        <v>35</v>
      </c>
      <c r="L510">
        <f t="shared" ca="1" si="79"/>
        <v>-96</v>
      </c>
      <c r="M510">
        <f t="shared" ca="1" si="80"/>
        <v>358</v>
      </c>
      <c r="N510">
        <f t="shared" ca="1" si="80"/>
        <v>265</v>
      </c>
      <c r="O510">
        <f t="shared" ca="1" si="77"/>
        <v>441</v>
      </c>
      <c r="P510">
        <f t="shared" ca="1" si="81"/>
        <v>144</v>
      </c>
      <c r="Q510">
        <f t="shared" ca="1" si="82"/>
        <v>647</v>
      </c>
      <c r="R510">
        <f t="shared" ca="1" si="83"/>
        <v>319</v>
      </c>
      <c r="S510">
        <f t="shared" ca="1" si="84"/>
        <v>7273</v>
      </c>
      <c r="T510">
        <f t="shared" ca="1" si="85"/>
        <v>2640</v>
      </c>
      <c r="U510">
        <f t="shared" ca="1" si="86"/>
        <v>1175</v>
      </c>
      <c r="V510">
        <v>0</v>
      </c>
      <c r="W510">
        <v>0</v>
      </c>
      <c r="X510">
        <f t="shared" ca="1" si="87"/>
        <v>-279</v>
      </c>
      <c r="Y510">
        <v>0</v>
      </c>
      <c r="Z510">
        <v>0</v>
      </c>
      <c r="AA510">
        <v>12</v>
      </c>
      <c r="AB510" t="s">
        <v>62</v>
      </c>
      <c r="AC510" t="s">
        <v>151</v>
      </c>
      <c r="AD510">
        <v>1</v>
      </c>
      <c r="AE510">
        <v>52</v>
      </c>
      <c r="AF510">
        <v>2257</v>
      </c>
      <c r="AG510" t="s">
        <v>47</v>
      </c>
      <c r="AH510" t="s">
        <v>226</v>
      </c>
      <c r="AI510" t="s">
        <v>227</v>
      </c>
      <c r="AJ510" t="s">
        <v>50</v>
      </c>
      <c r="AK510" t="s">
        <v>51</v>
      </c>
      <c r="AL510">
        <v>3.6726999999999999</v>
      </c>
      <c r="AM510" t="s">
        <v>52</v>
      </c>
      <c r="AN510" t="s">
        <v>152</v>
      </c>
      <c r="AO510" t="s">
        <v>153</v>
      </c>
      <c r="AP510" t="s">
        <v>154</v>
      </c>
      <c r="AQ510" t="s">
        <v>55</v>
      </c>
    </row>
    <row r="511" spans="1:43" x14ac:dyDescent="0.3">
      <c r="A511" t="s">
        <v>43</v>
      </c>
      <c r="B511">
        <v>1999</v>
      </c>
      <c r="C511">
        <v>535</v>
      </c>
      <c r="D511">
        <v>5411</v>
      </c>
      <c r="E511">
        <v>6</v>
      </c>
      <c r="F511">
        <v>202305</v>
      </c>
      <c r="G511">
        <v>1100061</v>
      </c>
      <c r="H511" t="s">
        <v>150</v>
      </c>
      <c r="I511" t="s">
        <v>45</v>
      </c>
      <c r="J511">
        <v>7</v>
      </c>
      <c r="K511">
        <f t="shared" ca="1" si="78"/>
        <v>18</v>
      </c>
      <c r="L511">
        <f t="shared" ca="1" si="79"/>
        <v>53</v>
      </c>
      <c r="M511">
        <f t="shared" ca="1" si="80"/>
        <v>307</v>
      </c>
      <c r="N511">
        <f t="shared" ca="1" si="80"/>
        <v>498</v>
      </c>
      <c r="O511">
        <f t="shared" ca="1" si="77"/>
        <v>512</v>
      </c>
      <c r="P511">
        <f t="shared" ca="1" si="81"/>
        <v>977</v>
      </c>
      <c r="Q511">
        <f t="shared" ca="1" si="82"/>
        <v>7</v>
      </c>
      <c r="R511">
        <f t="shared" ca="1" si="83"/>
        <v>42</v>
      </c>
      <c r="S511">
        <f t="shared" ca="1" si="84"/>
        <v>5852</v>
      </c>
      <c r="T511">
        <f t="shared" ca="1" si="85"/>
        <v>820</v>
      </c>
      <c r="U511">
        <f t="shared" ca="1" si="86"/>
        <v>1103</v>
      </c>
      <c r="V511">
        <v>0</v>
      </c>
      <c r="W511">
        <v>0</v>
      </c>
      <c r="X511">
        <f t="shared" ca="1" si="87"/>
        <v>-244</v>
      </c>
      <c r="Y511">
        <v>0</v>
      </c>
      <c r="Z511">
        <v>-780</v>
      </c>
      <c r="AA511">
        <v>56</v>
      </c>
      <c r="AB511" t="s">
        <v>65</v>
      </c>
      <c r="AC511" t="s">
        <v>155</v>
      </c>
      <c r="AD511">
        <v>1</v>
      </c>
      <c r="AE511">
        <v>52</v>
      </c>
      <c r="AF511">
        <v>2257</v>
      </c>
      <c r="AG511" t="s">
        <v>47</v>
      </c>
      <c r="AH511" t="s">
        <v>226</v>
      </c>
      <c r="AI511" t="s">
        <v>227</v>
      </c>
      <c r="AJ511" t="s">
        <v>50</v>
      </c>
      <c r="AK511" t="s">
        <v>51</v>
      </c>
      <c r="AL511">
        <v>3.6726999999999999</v>
      </c>
      <c r="AM511" t="s">
        <v>52</v>
      </c>
      <c r="AN511" t="s">
        <v>152</v>
      </c>
      <c r="AO511" t="s">
        <v>153</v>
      </c>
      <c r="AP511" t="s">
        <v>154</v>
      </c>
      <c r="AQ511" t="s">
        <v>55</v>
      </c>
    </row>
    <row r="512" spans="1:43" x14ac:dyDescent="0.3">
      <c r="A512" t="s">
        <v>43</v>
      </c>
      <c r="B512">
        <v>1999</v>
      </c>
      <c r="C512">
        <v>535</v>
      </c>
      <c r="D512">
        <v>5411</v>
      </c>
      <c r="E512">
        <v>6</v>
      </c>
      <c r="F512">
        <v>202305</v>
      </c>
      <c r="G512">
        <v>1100062</v>
      </c>
      <c r="H512" t="s">
        <v>150</v>
      </c>
      <c r="I512" t="s">
        <v>45</v>
      </c>
      <c r="J512">
        <v>7</v>
      </c>
      <c r="K512">
        <f t="shared" ca="1" si="78"/>
        <v>55</v>
      </c>
      <c r="L512">
        <f t="shared" ca="1" si="79"/>
        <v>52</v>
      </c>
      <c r="M512">
        <f t="shared" ca="1" si="80"/>
        <v>-29</v>
      </c>
      <c r="N512">
        <f t="shared" ca="1" si="80"/>
        <v>190</v>
      </c>
      <c r="O512">
        <f t="shared" ca="1" si="77"/>
        <v>725</v>
      </c>
      <c r="P512">
        <f t="shared" ca="1" si="81"/>
        <v>243</v>
      </c>
      <c r="Q512">
        <f t="shared" ca="1" si="82"/>
        <v>621</v>
      </c>
      <c r="R512">
        <f t="shared" ca="1" si="83"/>
        <v>68</v>
      </c>
      <c r="S512">
        <f t="shared" ca="1" si="84"/>
        <v>7950</v>
      </c>
      <c r="T512">
        <f t="shared" ca="1" si="85"/>
        <v>9162</v>
      </c>
      <c r="U512">
        <f t="shared" ca="1" si="86"/>
        <v>595</v>
      </c>
      <c r="V512">
        <v>0</v>
      </c>
      <c r="W512">
        <v>0</v>
      </c>
      <c r="X512">
        <f t="shared" ca="1" si="87"/>
        <v>-328</v>
      </c>
      <c r="Y512">
        <v>0</v>
      </c>
      <c r="Z512">
        <v>0</v>
      </c>
      <c r="AA512">
        <v>58</v>
      </c>
      <c r="AB512" t="s">
        <v>65</v>
      </c>
      <c r="AC512" t="s">
        <v>156</v>
      </c>
      <c r="AD512">
        <v>1</v>
      </c>
      <c r="AE512">
        <v>52</v>
      </c>
      <c r="AF512">
        <v>2257</v>
      </c>
      <c r="AG512" t="s">
        <v>47</v>
      </c>
      <c r="AH512" t="s">
        <v>226</v>
      </c>
      <c r="AI512" t="s">
        <v>227</v>
      </c>
      <c r="AJ512" t="s">
        <v>50</v>
      </c>
      <c r="AK512" t="s">
        <v>51</v>
      </c>
      <c r="AL512">
        <v>3.6726999999999999</v>
      </c>
      <c r="AM512" t="s">
        <v>52</v>
      </c>
      <c r="AN512" t="s">
        <v>152</v>
      </c>
      <c r="AO512" t="s">
        <v>153</v>
      </c>
      <c r="AP512" t="s">
        <v>154</v>
      </c>
      <c r="AQ512" t="s">
        <v>55</v>
      </c>
    </row>
    <row r="513" spans="1:43" x14ac:dyDescent="0.3">
      <c r="A513" t="s">
        <v>43</v>
      </c>
      <c r="B513">
        <v>1999</v>
      </c>
      <c r="C513">
        <v>535</v>
      </c>
      <c r="D513">
        <v>5411</v>
      </c>
      <c r="E513">
        <v>6</v>
      </c>
      <c r="F513">
        <v>202305</v>
      </c>
      <c r="G513">
        <v>1100063</v>
      </c>
      <c r="H513" t="s">
        <v>150</v>
      </c>
      <c r="I513" t="s">
        <v>45</v>
      </c>
      <c r="J513">
        <v>7</v>
      </c>
      <c r="K513">
        <f t="shared" ca="1" si="78"/>
        <v>59</v>
      </c>
      <c r="L513">
        <f t="shared" ca="1" si="79"/>
        <v>-87</v>
      </c>
      <c r="M513">
        <f t="shared" ca="1" si="80"/>
        <v>241</v>
      </c>
      <c r="N513">
        <f t="shared" ca="1" si="80"/>
        <v>330</v>
      </c>
      <c r="O513">
        <f t="shared" ca="1" si="77"/>
        <v>845</v>
      </c>
      <c r="P513">
        <f t="shared" ca="1" si="81"/>
        <v>-450</v>
      </c>
      <c r="Q513">
        <f t="shared" ca="1" si="82"/>
        <v>602</v>
      </c>
      <c r="R513">
        <f t="shared" ca="1" si="83"/>
        <v>125</v>
      </c>
      <c r="S513">
        <f t="shared" ca="1" si="84"/>
        <v>6688</v>
      </c>
      <c r="T513">
        <f t="shared" ca="1" si="85"/>
        <v>1207</v>
      </c>
      <c r="U513">
        <f t="shared" ca="1" si="86"/>
        <v>617</v>
      </c>
      <c r="V513">
        <v>0</v>
      </c>
      <c r="W513">
        <v>0</v>
      </c>
      <c r="X513">
        <f t="shared" ca="1" si="87"/>
        <v>36</v>
      </c>
      <c r="Y513">
        <v>0</v>
      </c>
      <c r="Z513">
        <v>0</v>
      </c>
      <c r="AA513">
        <v>31</v>
      </c>
      <c r="AB513" t="s">
        <v>65</v>
      </c>
      <c r="AC513" t="s">
        <v>157</v>
      </c>
      <c r="AD513">
        <v>1</v>
      </c>
      <c r="AE513">
        <v>52</v>
      </c>
      <c r="AF513">
        <v>2257</v>
      </c>
      <c r="AG513" t="s">
        <v>47</v>
      </c>
      <c r="AH513" t="s">
        <v>226</v>
      </c>
      <c r="AI513" t="s">
        <v>227</v>
      </c>
      <c r="AJ513" t="s">
        <v>50</v>
      </c>
      <c r="AK513" t="s">
        <v>51</v>
      </c>
      <c r="AL513">
        <v>3.6726999999999999</v>
      </c>
      <c r="AM513" t="s">
        <v>52</v>
      </c>
      <c r="AN513" t="s">
        <v>152</v>
      </c>
      <c r="AO513" t="s">
        <v>153</v>
      </c>
      <c r="AP513" t="s">
        <v>154</v>
      </c>
      <c r="AQ513" t="s">
        <v>55</v>
      </c>
    </row>
    <row r="514" spans="1:43" x14ac:dyDescent="0.3">
      <c r="A514" t="s">
        <v>43</v>
      </c>
      <c r="B514">
        <v>1999</v>
      </c>
      <c r="C514">
        <v>535</v>
      </c>
      <c r="D514">
        <v>5411</v>
      </c>
      <c r="E514">
        <v>6</v>
      </c>
      <c r="F514">
        <v>202305</v>
      </c>
      <c r="G514">
        <v>1100064</v>
      </c>
      <c r="H514" t="s">
        <v>150</v>
      </c>
      <c r="I514" t="s">
        <v>45</v>
      </c>
      <c r="J514">
        <v>7</v>
      </c>
      <c r="K514">
        <f t="shared" ca="1" si="78"/>
        <v>18</v>
      </c>
      <c r="L514">
        <f t="shared" ca="1" si="79"/>
        <v>-21</v>
      </c>
      <c r="M514">
        <f t="shared" ca="1" si="80"/>
        <v>250</v>
      </c>
      <c r="N514">
        <f t="shared" ca="1" si="80"/>
        <v>211</v>
      </c>
      <c r="O514">
        <f t="shared" ref="O514:O565" ca="1" si="88">RANDBETWEEN(-100, 1000)</f>
        <v>77</v>
      </c>
      <c r="P514">
        <f t="shared" ca="1" si="81"/>
        <v>140</v>
      </c>
      <c r="Q514">
        <f t="shared" ca="1" si="82"/>
        <v>845</v>
      </c>
      <c r="R514">
        <f t="shared" ca="1" si="83"/>
        <v>429</v>
      </c>
      <c r="S514">
        <f t="shared" ca="1" si="84"/>
        <v>9361</v>
      </c>
      <c r="T514">
        <f t="shared" ca="1" si="85"/>
        <v>2329</v>
      </c>
      <c r="U514">
        <f t="shared" ca="1" si="86"/>
        <v>557</v>
      </c>
      <c r="V514">
        <v>0</v>
      </c>
      <c r="W514">
        <v>0</v>
      </c>
      <c r="X514">
        <f t="shared" ca="1" si="87"/>
        <v>7</v>
      </c>
      <c r="Y514">
        <v>0</v>
      </c>
      <c r="Z514">
        <v>0</v>
      </c>
      <c r="AA514">
        <v>25</v>
      </c>
      <c r="AB514" t="s">
        <v>65</v>
      </c>
      <c r="AC514" t="s">
        <v>158</v>
      </c>
      <c r="AD514">
        <v>1</v>
      </c>
      <c r="AE514">
        <v>52</v>
      </c>
      <c r="AF514">
        <v>2257</v>
      </c>
      <c r="AG514" t="s">
        <v>47</v>
      </c>
      <c r="AH514" t="s">
        <v>226</v>
      </c>
      <c r="AI514" t="s">
        <v>227</v>
      </c>
      <c r="AJ514" t="s">
        <v>50</v>
      </c>
      <c r="AK514" t="s">
        <v>51</v>
      </c>
      <c r="AL514">
        <v>3.6726999999999999</v>
      </c>
      <c r="AM514" t="s">
        <v>52</v>
      </c>
      <c r="AN514" t="s">
        <v>152</v>
      </c>
      <c r="AO514" t="s">
        <v>153</v>
      </c>
      <c r="AP514" t="s">
        <v>154</v>
      </c>
      <c r="AQ514" t="s">
        <v>55</v>
      </c>
    </row>
    <row r="515" spans="1:43" x14ac:dyDescent="0.3">
      <c r="A515" t="s">
        <v>43</v>
      </c>
      <c r="B515">
        <v>1999</v>
      </c>
      <c r="C515">
        <v>535</v>
      </c>
      <c r="D515">
        <v>5411</v>
      </c>
      <c r="E515">
        <v>6</v>
      </c>
      <c r="F515">
        <v>202305</v>
      </c>
      <c r="G515">
        <v>1100066</v>
      </c>
      <c r="H515" t="s">
        <v>150</v>
      </c>
      <c r="I515" t="s">
        <v>45</v>
      </c>
      <c r="J515">
        <v>7</v>
      </c>
      <c r="K515">
        <f t="shared" ref="K515:K566" ca="1" si="89">RANDBETWEEN(0, 100)</f>
        <v>32</v>
      </c>
      <c r="L515">
        <f t="shared" ref="L515:L566" ca="1" si="90">RANDBETWEEN(-100, 100)</f>
        <v>76</v>
      </c>
      <c r="M515">
        <f t="shared" ref="M515:N566" ca="1" si="91">RANDBETWEEN(-100, 500)</f>
        <v>101</v>
      </c>
      <c r="N515">
        <f t="shared" ca="1" si="91"/>
        <v>96</v>
      </c>
      <c r="O515">
        <f t="shared" ca="1" si="88"/>
        <v>24</v>
      </c>
      <c r="P515">
        <f t="shared" ref="P515:P566" ca="1" si="92">RANDBETWEEN(-500, 1500)</f>
        <v>-401</v>
      </c>
      <c r="Q515">
        <f t="shared" ref="Q515:Q566" ca="1" si="93">RANDBETWEEN(0,1200)</f>
        <v>751</v>
      </c>
      <c r="R515">
        <f t="shared" ref="R515:R566" ca="1" si="94">RANDBETWEEN(-100, 500)</f>
        <v>491</v>
      </c>
      <c r="S515">
        <f t="shared" ref="S515:S566" ca="1" si="95">RANDBETWEEN(-100, 15000)</f>
        <v>14767</v>
      </c>
      <c r="T515">
        <f t="shared" ref="T515:T566" ca="1" si="96">RANDBETWEEN(-100, 10000)</f>
        <v>4245</v>
      </c>
      <c r="U515">
        <f t="shared" ref="U515:U566" ca="1" si="97">RANDBETWEEN(-100, 1300)</f>
        <v>1084</v>
      </c>
      <c r="V515">
        <v>0</v>
      </c>
      <c r="W515">
        <v>0</v>
      </c>
      <c r="X515">
        <f t="shared" ref="X515:X566" ca="1" si="98">RANDBETWEEN(-500, 100)</f>
        <v>-124</v>
      </c>
      <c r="Y515">
        <v>0</v>
      </c>
      <c r="Z515">
        <v>0</v>
      </c>
      <c r="AA515">
        <v>25</v>
      </c>
      <c r="AB515" t="s">
        <v>65</v>
      </c>
      <c r="AC515" t="s">
        <v>277</v>
      </c>
      <c r="AD515">
        <v>1</v>
      </c>
      <c r="AE515">
        <v>52</v>
      </c>
      <c r="AF515">
        <v>2257</v>
      </c>
      <c r="AG515" t="s">
        <v>47</v>
      </c>
      <c r="AH515" t="s">
        <v>226</v>
      </c>
      <c r="AI515" t="s">
        <v>227</v>
      </c>
      <c r="AJ515" t="s">
        <v>50</v>
      </c>
      <c r="AK515" t="s">
        <v>51</v>
      </c>
      <c r="AL515">
        <v>3.6726999999999999</v>
      </c>
      <c r="AM515" t="s">
        <v>52</v>
      </c>
      <c r="AN515" t="s">
        <v>152</v>
      </c>
      <c r="AO515" t="s">
        <v>153</v>
      </c>
      <c r="AP515" t="s">
        <v>154</v>
      </c>
      <c r="AQ515" t="s">
        <v>55</v>
      </c>
    </row>
    <row r="516" spans="1:43" x14ac:dyDescent="0.3">
      <c r="A516" t="s">
        <v>43</v>
      </c>
      <c r="B516">
        <v>1999</v>
      </c>
      <c r="C516">
        <v>535</v>
      </c>
      <c r="D516">
        <v>5411</v>
      </c>
      <c r="E516">
        <v>6</v>
      </c>
      <c r="F516">
        <v>202305</v>
      </c>
      <c r="G516">
        <v>3100329</v>
      </c>
      <c r="H516" t="s">
        <v>150</v>
      </c>
      <c r="I516" t="s">
        <v>45</v>
      </c>
      <c r="J516">
        <v>7</v>
      </c>
      <c r="K516">
        <f t="shared" ca="1" si="89"/>
        <v>94</v>
      </c>
      <c r="L516">
        <f t="shared" ca="1" si="90"/>
        <v>-86</v>
      </c>
      <c r="M516">
        <f t="shared" ca="1" si="91"/>
        <v>278</v>
      </c>
      <c r="N516">
        <f t="shared" ca="1" si="91"/>
        <v>44</v>
      </c>
      <c r="O516">
        <f t="shared" ca="1" si="88"/>
        <v>231</v>
      </c>
      <c r="P516">
        <f t="shared" ca="1" si="92"/>
        <v>148</v>
      </c>
      <c r="Q516">
        <f t="shared" ca="1" si="93"/>
        <v>1125</v>
      </c>
      <c r="R516">
        <f t="shared" ca="1" si="94"/>
        <v>15</v>
      </c>
      <c r="S516">
        <f t="shared" ca="1" si="95"/>
        <v>5195</v>
      </c>
      <c r="T516">
        <f t="shared" ca="1" si="96"/>
        <v>7249</v>
      </c>
      <c r="U516">
        <f t="shared" ca="1" si="97"/>
        <v>837</v>
      </c>
      <c r="V516">
        <v>0</v>
      </c>
      <c r="W516">
        <v>0</v>
      </c>
      <c r="X516">
        <f t="shared" ca="1" si="98"/>
        <v>-238</v>
      </c>
      <c r="Y516">
        <v>0</v>
      </c>
      <c r="Z516">
        <v>780</v>
      </c>
      <c r="AA516">
        <v>55</v>
      </c>
      <c r="AB516" t="s">
        <v>80</v>
      </c>
      <c r="AC516" t="s">
        <v>159</v>
      </c>
      <c r="AD516">
        <v>1</v>
      </c>
      <c r="AE516">
        <v>52</v>
      </c>
      <c r="AF516">
        <v>2257</v>
      </c>
      <c r="AG516" t="s">
        <v>47</v>
      </c>
      <c r="AH516" t="s">
        <v>226</v>
      </c>
      <c r="AI516" t="s">
        <v>227</v>
      </c>
      <c r="AJ516" t="s">
        <v>50</v>
      </c>
      <c r="AK516" t="s">
        <v>51</v>
      </c>
      <c r="AL516">
        <v>3.6726999999999999</v>
      </c>
      <c r="AM516" t="s">
        <v>52</v>
      </c>
      <c r="AN516" t="s">
        <v>152</v>
      </c>
      <c r="AO516" t="s">
        <v>153</v>
      </c>
      <c r="AP516" t="s">
        <v>154</v>
      </c>
      <c r="AQ516" t="s">
        <v>55</v>
      </c>
    </row>
    <row r="517" spans="1:43" x14ac:dyDescent="0.3">
      <c r="A517" t="s">
        <v>43</v>
      </c>
      <c r="B517">
        <v>1999</v>
      </c>
      <c r="C517">
        <v>535</v>
      </c>
      <c r="D517">
        <v>5411</v>
      </c>
      <c r="E517">
        <v>6</v>
      </c>
      <c r="F517">
        <v>202305</v>
      </c>
      <c r="G517">
        <v>3100393</v>
      </c>
      <c r="H517" t="s">
        <v>150</v>
      </c>
      <c r="I517" t="s">
        <v>45</v>
      </c>
      <c r="J517">
        <v>7</v>
      </c>
      <c r="K517">
        <f t="shared" ca="1" si="89"/>
        <v>7</v>
      </c>
      <c r="L517">
        <f t="shared" ca="1" si="90"/>
        <v>82</v>
      </c>
      <c r="M517">
        <f t="shared" ca="1" si="91"/>
        <v>-36</v>
      </c>
      <c r="N517">
        <f t="shared" ca="1" si="91"/>
        <v>96</v>
      </c>
      <c r="O517">
        <f t="shared" ca="1" si="88"/>
        <v>40</v>
      </c>
      <c r="P517">
        <f t="shared" ca="1" si="92"/>
        <v>576</v>
      </c>
      <c r="Q517">
        <f t="shared" ca="1" si="93"/>
        <v>125</v>
      </c>
      <c r="R517">
        <f t="shared" ca="1" si="94"/>
        <v>448</v>
      </c>
      <c r="S517">
        <f t="shared" ca="1" si="95"/>
        <v>13387</v>
      </c>
      <c r="T517">
        <f t="shared" ca="1" si="96"/>
        <v>6733</v>
      </c>
      <c r="U517">
        <f t="shared" ca="1" si="97"/>
        <v>455</v>
      </c>
      <c r="V517">
        <v>0</v>
      </c>
      <c r="W517">
        <v>0</v>
      </c>
      <c r="X517">
        <f t="shared" ca="1" si="98"/>
        <v>-98</v>
      </c>
      <c r="Y517">
        <v>0</v>
      </c>
      <c r="Z517">
        <v>-496</v>
      </c>
      <c r="AA517">
        <v>9</v>
      </c>
      <c r="AB517" t="s">
        <v>80</v>
      </c>
      <c r="AC517" t="s">
        <v>90</v>
      </c>
      <c r="AD517">
        <v>1</v>
      </c>
      <c r="AE517">
        <v>52</v>
      </c>
      <c r="AF517">
        <v>2257</v>
      </c>
      <c r="AG517" t="s">
        <v>47</v>
      </c>
      <c r="AH517" t="s">
        <v>226</v>
      </c>
      <c r="AI517" t="s">
        <v>227</v>
      </c>
      <c r="AJ517" t="s">
        <v>50</v>
      </c>
      <c r="AK517" t="s">
        <v>51</v>
      </c>
      <c r="AL517">
        <v>3.6726999999999999</v>
      </c>
      <c r="AM517" t="s">
        <v>52</v>
      </c>
      <c r="AN517" t="s">
        <v>152</v>
      </c>
      <c r="AO517" t="s">
        <v>153</v>
      </c>
      <c r="AP517" t="s">
        <v>154</v>
      </c>
      <c r="AQ517" t="s">
        <v>55</v>
      </c>
    </row>
    <row r="518" spans="1:43" x14ac:dyDescent="0.3">
      <c r="A518" t="s">
        <v>43</v>
      </c>
      <c r="B518">
        <v>1999</v>
      </c>
      <c r="C518">
        <v>535</v>
      </c>
      <c r="D518">
        <v>5411</v>
      </c>
      <c r="E518">
        <v>9</v>
      </c>
      <c r="F518">
        <v>202305</v>
      </c>
      <c r="G518">
        <v>11</v>
      </c>
      <c r="H518" t="s">
        <v>77</v>
      </c>
      <c r="I518" t="s">
        <v>45</v>
      </c>
      <c r="J518">
        <v>2</v>
      </c>
      <c r="K518">
        <f t="shared" ca="1" si="89"/>
        <v>1</v>
      </c>
      <c r="L518">
        <f t="shared" ca="1" si="90"/>
        <v>-79</v>
      </c>
      <c r="M518">
        <f t="shared" ca="1" si="91"/>
        <v>346</v>
      </c>
      <c r="N518">
        <f t="shared" ca="1" si="91"/>
        <v>84</v>
      </c>
      <c r="O518">
        <f t="shared" ca="1" si="88"/>
        <v>218</v>
      </c>
      <c r="P518">
        <f t="shared" ca="1" si="92"/>
        <v>512</v>
      </c>
      <c r="Q518">
        <f t="shared" ca="1" si="93"/>
        <v>1181</v>
      </c>
      <c r="R518">
        <f t="shared" ca="1" si="94"/>
        <v>378</v>
      </c>
      <c r="S518">
        <f t="shared" ca="1" si="95"/>
        <v>6635</v>
      </c>
      <c r="T518">
        <f t="shared" ca="1" si="96"/>
        <v>7935</v>
      </c>
      <c r="U518">
        <f t="shared" ca="1" si="97"/>
        <v>65</v>
      </c>
      <c r="V518">
        <v>0</v>
      </c>
      <c r="W518">
        <v>0</v>
      </c>
      <c r="X518">
        <f t="shared" ca="1" si="98"/>
        <v>-114</v>
      </c>
      <c r="Y518">
        <v>0</v>
      </c>
      <c r="Z518">
        <v>0</v>
      </c>
      <c r="AA518">
        <v>100</v>
      </c>
      <c r="AB518" t="s">
        <v>65</v>
      </c>
      <c r="AD518">
        <v>1</v>
      </c>
      <c r="AE518">
        <v>52</v>
      </c>
      <c r="AF518">
        <v>2257</v>
      </c>
      <c r="AG518" t="s">
        <v>47</v>
      </c>
      <c r="AH518" t="s">
        <v>226</v>
      </c>
      <c r="AI518" t="s">
        <v>227</v>
      </c>
      <c r="AJ518" t="s">
        <v>50</v>
      </c>
      <c r="AK518" t="s">
        <v>51</v>
      </c>
      <c r="AL518">
        <v>3.6726999999999999</v>
      </c>
      <c r="AM518" t="s">
        <v>52</v>
      </c>
      <c r="AN518" t="s">
        <v>152</v>
      </c>
      <c r="AO518" t="s">
        <v>78</v>
      </c>
      <c r="AP518" t="s">
        <v>154</v>
      </c>
      <c r="AQ518" t="s">
        <v>55</v>
      </c>
    </row>
    <row r="519" spans="1:43" x14ac:dyDescent="0.3">
      <c r="A519" t="s">
        <v>43</v>
      </c>
      <c r="B519">
        <v>1999</v>
      </c>
      <c r="C519">
        <v>535</v>
      </c>
      <c r="D519">
        <v>5511</v>
      </c>
      <c r="E519">
        <v>10</v>
      </c>
      <c r="F519">
        <v>202305</v>
      </c>
      <c r="G519">
        <v>1100101</v>
      </c>
      <c r="H519" t="s">
        <v>160</v>
      </c>
      <c r="I519" t="s">
        <v>45</v>
      </c>
      <c r="J519">
        <v>7</v>
      </c>
      <c r="K519">
        <f t="shared" ca="1" si="89"/>
        <v>57</v>
      </c>
      <c r="L519">
        <f t="shared" ca="1" si="90"/>
        <v>-34</v>
      </c>
      <c r="M519">
        <f t="shared" ca="1" si="91"/>
        <v>139</v>
      </c>
      <c r="N519">
        <f t="shared" ca="1" si="91"/>
        <v>-59</v>
      </c>
      <c r="O519">
        <f t="shared" ca="1" si="88"/>
        <v>455</v>
      </c>
      <c r="P519">
        <f t="shared" ca="1" si="92"/>
        <v>-330</v>
      </c>
      <c r="Q519">
        <f t="shared" ca="1" si="93"/>
        <v>811</v>
      </c>
      <c r="R519">
        <f t="shared" ca="1" si="94"/>
        <v>321</v>
      </c>
      <c r="S519">
        <f t="shared" ca="1" si="95"/>
        <v>9693</v>
      </c>
      <c r="T519">
        <f t="shared" ca="1" si="96"/>
        <v>1997</v>
      </c>
      <c r="U519">
        <f t="shared" ca="1" si="97"/>
        <v>99</v>
      </c>
      <c r="V519">
        <v>0</v>
      </c>
      <c r="W519">
        <v>0</v>
      </c>
      <c r="X519">
        <f t="shared" ca="1" si="98"/>
        <v>-8</v>
      </c>
      <c r="Y519">
        <v>0</v>
      </c>
      <c r="Z519">
        <v>0</v>
      </c>
      <c r="AA519">
        <v>16</v>
      </c>
      <c r="AB519" t="s">
        <v>65</v>
      </c>
      <c r="AC519" t="s">
        <v>161</v>
      </c>
      <c r="AD519">
        <v>1</v>
      </c>
      <c r="AE519">
        <v>52</v>
      </c>
      <c r="AF519">
        <v>2257</v>
      </c>
      <c r="AG519" t="s">
        <v>47</v>
      </c>
      <c r="AH519" t="s">
        <v>226</v>
      </c>
      <c r="AI519" t="s">
        <v>227</v>
      </c>
      <c r="AJ519" t="s">
        <v>50</v>
      </c>
      <c r="AK519" t="s">
        <v>51</v>
      </c>
      <c r="AL519">
        <v>3.6726999999999999</v>
      </c>
      <c r="AM519" t="s">
        <v>52</v>
      </c>
      <c r="AN519" t="s">
        <v>162</v>
      </c>
      <c r="AO519" t="s">
        <v>163</v>
      </c>
      <c r="AP519" t="s">
        <v>164</v>
      </c>
      <c r="AQ519" t="s">
        <v>55</v>
      </c>
    </row>
    <row r="520" spans="1:43" x14ac:dyDescent="0.3">
      <c r="A520" t="s">
        <v>43</v>
      </c>
      <c r="B520">
        <v>1999</v>
      </c>
      <c r="C520">
        <v>535</v>
      </c>
      <c r="D520">
        <v>5511</v>
      </c>
      <c r="E520">
        <v>10</v>
      </c>
      <c r="F520">
        <v>202305</v>
      </c>
      <c r="G520">
        <v>1100102</v>
      </c>
      <c r="H520" t="s">
        <v>160</v>
      </c>
      <c r="I520" t="s">
        <v>45</v>
      </c>
      <c r="J520">
        <v>7</v>
      </c>
      <c r="K520">
        <f t="shared" ca="1" si="89"/>
        <v>13</v>
      </c>
      <c r="L520">
        <f t="shared" ca="1" si="90"/>
        <v>-60</v>
      </c>
      <c r="M520">
        <f t="shared" ca="1" si="91"/>
        <v>378</v>
      </c>
      <c r="N520">
        <f t="shared" ca="1" si="91"/>
        <v>-30</v>
      </c>
      <c r="O520">
        <f t="shared" ca="1" si="88"/>
        <v>754</v>
      </c>
      <c r="P520">
        <f t="shared" ca="1" si="92"/>
        <v>-470</v>
      </c>
      <c r="Q520">
        <f t="shared" ca="1" si="93"/>
        <v>580</v>
      </c>
      <c r="R520">
        <f t="shared" ca="1" si="94"/>
        <v>-3</v>
      </c>
      <c r="S520">
        <f t="shared" ca="1" si="95"/>
        <v>2379</v>
      </c>
      <c r="T520">
        <f t="shared" ca="1" si="96"/>
        <v>6811</v>
      </c>
      <c r="U520">
        <f t="shared" ca="1" si="97"/>
        <v>500</v>
      </c>
      <c r="V520">
        <v>0</v>
      </c>
      <c r="W520">
        <v>0</v>
      </c>
      <c r="X520">
        <f t="shared" ca="1" si="98"/>
        <v>68</v>
      </c>
      <c r="Y520">
        <v>0</v>
      </c>
      <c r="Z520">
        <v>0</v>
      </c>
      <c r="AA520">
        <v>26</v>
      </c>
      <c r="AB520" t="s">
        <v>65</v>
      </c>
      <c r="AC520" t="s">
        <v>165</v>
      </c>
      <c r="AD520">
        <v>1</v>
      </c>
      <c r="AE520">
        <v>52</v>
      </c>
      <c r="AF520">
        <v>2257</v>
      </c>
      <c r="AG520" t="s">
        <v>47</v>
      </c>
      <c r="AH520" t="s">
        <v>226</v>
      </c>
      <c r="AI520" t="s">
        <v>227</v>
      </c>
      <c r="AJ520" t="s">
        <v>50</v>
      </c>
      <c r="AK520" t="s">
        <v>51</v>
      </c>
      <c r="AL520">
        <v>3.6726999999999999</v>
      </c>
      <c r="AM520" t="s">
        <v>52</v>
      </c>
      <c r="AN520" t="s">
        <v>162</v>
      </c>
      <c r="AO520" t="s">
        <v>163</v>
      </c>
      <c r="AP520" t="s">
        <v>164</v>
      </c>
      <c r="AQ520" t="s">
        <v>55</v>
      </c>
    </row>
    <row r="521" spans="1:43" x14ac:dyDescent="0.3">
      <c r="A521" t="s">
        <v>43</v>
      </c>
      <c r="B521">
        <v>1999</v>
      </c>
      <c r="C521">
        <v>535</v>
      </c>
      <c r="D521">
        <v>5511</v>
      </c>
      <c r="E521">
        <v>10</v>
      </c>
      <c r="F521">
        <v>202305</v>
      </c>
      <c r="G521">
        <v>1100105</v>
      </c>
      <c r="H521" t="s">
        <v>160</v>
      </c>
      <c r="I521" t="s">
        <v>45</v>
      </c>
      <c r="J521">
        <v>7</v>
      </c>
      <c r="K521">
        <f t="shared" ca="1" si="89"/>
        <v>50</v>
      </c>
      <c r="L521">
        <f t="shared" ca="1" si="90"/>
        <v>-28</v>
      </c>
      <c r="M521">
        <f t="shared" ca="1" si="91"/>
        <v>493</v>
      </c>
      <c r="N521">
        <f t="shared" ca="1" si="91"/>
        <v>72</v>
      </c>
      <c r="O521">
        <f t="shared" ca="1" si="88"/>
        <v>235</v>
      </c>
      <c r="P521">
        <f t="shared" ca="1" si="92"/>
        <v>1255</v>
      </c>
      <c r="Q521">
        <f t="shared" ca="1" si="93"/>
        <v>148</v>
      </c>
      <c r="R521">
        <f t="shared" ca="1" si="94"/>
        <v>-70</v>
      </c>
      <c r="S521">
        <f t="shared" ca="1" si="95"/>
        <v>11557</v>
      </c>
      <c r="T521">
        <f t="shared" ca="1" si="96"/>
        <v>8002</v>
      </c>
      <c r="U521">
        <f t="shared" ca="1" si="97"/>
        <v>797</v>
      </c>
      <c r="V521">
        <v>0</v>
      </c>
      <c r="W521">
        <v>0</v>
      </c>
      <c r="X521">
        <f t="shared" ca="1" si="98"/>
        <v>-337</v>
      </c>
      <c r="Y521">
        <v>0</v>
      </c>
      <c r="Z521">
        <v>0</v>
      </c>
      <c r="AA521">
        <v>56</v>
      </c>
      <c r="AB521" t="s">
        <v>65</v>
      </c>
      <c r="AC521" t="s">
        <v>167</v>
      </c>
      <c r="AD521">
        <v>1</v>
      </c>
      <c r="AE521">
        <v>52</v>
      </c>
      <c r="AF521">
        <v>2257</v>
      </c>
      <c r="AG521" t="s">
        <v>47</v>
      </c>
      <c r="AH521" t="s">
        <v>226</v>
      </c>
      <c r="AI521" t="s">
        <v>227</v>
      </c>
      <c r="AJ521" t="s">
        <v>50</v>
      </c>
      <c r="AK521" t="s">
        <v>51</v>
      </c>
      <c r="AL521">
        <v>3.6726999999999999</v>
      </c>
      <c r="AM521" t="s">
        <v>52</v>
      </c>
      <c r="AN521" t="s">
        <v>162</v>
      </c>
      <c r="AO521" t="s">
        <v>163</v>
      </c>
      <c r="AP521" t="s">
        <v>164</v>
      </c>
      <c r="AQ521" t="s">
        <v>55</v>
      </c>
    </row>
    <row r="522" spans="1:43" x14ac:dyDescent="0.3">
      <c r="A522" t="s">
        <v>43</v>
      </c>
      <c r="B522">
        <v>1999</v>
      </c>
      <c r="C522">
        <v>535</v>
      </c>
      <c r="D522">
        <v>5511</v>
      </c>
      <c r="E522">
        <v>10</v>
      </c>
      <c r="F522">
        <v>202305</v>
      </c>
      <c r="G522">
        <v>1100106</v>
      </c>
      <c r="H522" t="s">
        <v>160</v>
      </c>
      <c r="I522" t="s">
        <v>45</v>
      </c>
      <c r="J522">
        <v>7</v>
      </c>
      <c r="K522">
        <f t="shared" ca="1" si="89"/>
        <v>24</v>
      </c>
      <c r="L522">
        <f t="shared" ca="1" si="90"/>
        <v>35</v>
      </c>
      <c r="M522">
        <f t="shared" ca="1" si="91"/>
        <v>24</v>
      </c>
      <c r="N522">
        <f t="shared" ca="1" si="91"/>
        <v>411</v>
      </c>
      <c r="O522">
        <f t="shared" ca="1" si="88"/>
        <v>-81</v>
      </c>
      <c r="P522">
        <f t="shared" ca="1" si="92"/>
        <v>345</v>
      </c>
      <c r="Q522">
        <f t="shared" ca="1" si="93"/>
        <v>1092</v>
      </c>
      <c r="R522">
        <f t="shared" ca="1" si="94"/>
        <v>199</v>
      </c>
      <c r="S522">
        <f t="shared" ca="1" si="95"/>
        <v>14067</v>
      </c>
      <c r="T522">
        <f t="shared" ca="1" si="96"/>
        <v>7048</v>
      </c>
      <c r="U522">
        <f t="shared" ca="1" si="97"/>
        <v>317</v>
      </c>
      <c r="V522">
        <v>0</v>
      </c>
      <c r="W522">
        <v>0</v>
      </c>
      <c r="X522">
        <f t="shared" ca="1" si="98"/>
        <v>95</v>
      </c>
      <c r="Y522">
        <v>0</v>
      </c>
      <c r="Z522">
        <v>0</v>
      </c>
      <c r="AA522">
        <v>13</v>
      </c>
      <c r="AB522" t="s">
        <v>65</v>
      </c>
      <c r="AC522" t="s">
        <v>168</v>
      </c>
      <c r="AD522">
        <v>1</v>
      </c>
      <c r="AE522">
        <v>52</v>
      </c>
      <c r="AF522">
        <v>2257</v>
      </c>
      <c r="AG522" t="s">
        <v>47</v>
      </c>
      <c r="AH522" t="s">
        <v>226</v>
      </c>
      <c r="AI522" t="s">
        <v>227</v>
      </c>
      <c r="AJ522" t="s">
        <v>50</v>
      </c>
      <c r="AK522" t="s">
        <v>51</v>
      </c>
      <c r="AL522">
        <v>3.6726999999999999</v>
      </c>
      <c r="AM522" t="s">
        <v>52</v>
      </c>
      <c r="AN522" t="s">
        <v>162</v>
      </c>
      <c r="AO522" t="s">
        <v>163</v>
      </c>
      <c r="AP522" t="s">
        <v>164</v>
      </c>
      <c r="AQ522" t="s">
        <v>55</v>
      </c>
    </row>
    <row r="523" spans="1:43" x14ac:dyDescent="0.3">
      <c r="A523" t="s">
        <v>43</v>
      </c>
      <c r="B523">
        <v>1999</v>
      </c>
      <c r="C523">
        <v>535</v>
      </c>
      <c r="D523">
        <v>5511</v>
      </c>
      <c r="E523">
        <v>10</v>
      </c>
      <c r="F523">
        <v>202305</v>
      </c>
      <c r="G523">
        <v>1100107</v>
      </c>
      <c r="H523" t="s">
        <v>160</v>
      </c>
      <c r="I523" t="s">
        <v>45</v>
      </c>
      <c r="J523">
        <v>7</v>
      </c>
      <c r="K523">
        <f t="shared" ca="1" si="89"/>
        <v>6</v>
      </c>
      <c r="L523">
        <f t="shared" ca="1" si="90"/>
        <v>56</v>
      </c>
      <c r="M523">
        <f t="shared" ca="1" si="91"/>
        <v>290</v>
      </c>
      <c r="N523">
        <f t="shared" ca="1" si="91"/>
        <v>-39</v>
      </c>
      <c r="O523">
        <f t="shared" ca="1" si="88"/>
        <v>726</v>
      </c>
      <c r="P523">
        <f t="shared" ca="1" si="92"/>
        <v>-324</v>
      </c>
      <c r="Q523">
        <f t="shared" ca="1" si="93"/>
        <v>64</v>
      </c>
      <c r="R523">
        <f t="shared" ca="1" si="94"/>
        <v>107</v>
      </c>
      <c r="S523">
        <f t="shared" ca="1" si="95"/>
        <v>7027</v>
      </c>
      <c r="T523">
        <f t="shared" ca="1" si="96"/>
        <v>988</v>
      </c>
      <c r="U523">
        <f t="shared" ca="1" si="97"/>
        <v>860</v>
      </c>
      <c r="V523">
        <v>0</v>
      </c>
      <c r="W523">
        <v>0</v>
      </c>
      <c r="X523">
        <f t="shared" ca="1" si="98"/>
        <v>5</v>
      </c>
      <c r="Y523">
        <v>0</v>
      </c>
      <c r="Z523">
        <v>0</v>
      </c>
      <c r="AA523">
        <v>6</v>
      </c>
      <c r="AB523" t="s">
        <v>65</v>
      </c>
      <c r="AC523" t="s">
        <v>169</v>
      </c>
      <c r="AD523">
        <v>1</v>
      </c>
      <c r="AE523">
        <v>52</v>
      </c>
      <c r="AF523">
        <v>2257</v>
      </c>
      <c r="AG523" t="s">
        <v>47</v>
      </c>
      <c r="AH523" t="s">
        <v>226</v>
      </c>
      <c r="AI523" t="s">
        <v>227</v>
      </c>
      <c r="AJ523" t="s">
        <v>50</v>
      </c>
      <c r="AK523" t="s">
        <v>51</v>
      </c>
      <c r="AL523">
        <v>3.6726999999999999</v>
      </c>
      <c r="AM523" t="s">
        <v>52</v>
      </c>
      <c r="AN523" t="s">
        <v>162</v>
      </c>
      <c r="AO523" t="s">
        <v>163</v>
      </c>
      <c r="AP523" t="s">
        <v>164</v>
      </c>
      <c r="AQ523" t="s">
        <v>55</v>
      </c>
    </row>
    <row r="524" spans="1:43" x14ac:dyDescent="0.3">
      <c r="A524" t="s">
        <v>43</v>
      </c>
      <c r="B524">
        <v>1999</v>
      </c>
      <c r="C524">
        <v>535</v>
      </c>
      <c r="D524">
        <v>5511</v>
      </c>
      <c r="E524">
        <v>10</v>
      </c>
      <c r="F524">
        <v>202305</v>
      </c>
      <c r="G524">
        <v>1100108</v>
      </c>
      <c r="H524" t="s">
        <v>160</v>
      </c>
      <c r="I524" t="s">
        <v>45</v>
      </c>
      <c r="J524">
        <v>7</v>
      </c>
      <c r="K524">
        <f t="shared" ca="1" si="89"/>
        <v>76</v>
      </c>
      <c r="L524">
        <f t="shared" ca="1" si="90"/>
        <v>-20</v>
      </c>
      <c r="M524">
        <f t="shared" ca="1" si="91"/>
        <v>334</v>
      </c>
      <c r="N524">
        <f t="shared" ca="1" si="91"/>
        <v>458</v>
      </c>
      <c r="O524">
        <f t="shared" ca="1" si="88"/>
        <v>490</v>
      </c>
      <c r="P524">
        <f t="shared" ca="1" si="92"/>
        <v>-155</v>
      </c>
      <c r="Q524">
        <f t="shared" ca="1" si="93"/>
        <v>370</v>
      </c>
      <c r="R524">
        <f t="shared" ca="1" si="94"/>
        <v>487</v>
      </c>
      <c r="S524">
        <f t="shared" ca="1" si="95"/>
        <v>3773</v>
      </c>
      <c r="T524">
        <f t="shared" ca="1" si="96"/>
        <v>4914</v>
      </c>
      <c r="U524">
        <f t="shared" ca="1" si="97"/>
        <v>1142</v>
      </c>
      <c r="V524">
        <v>0</v>
      </c>
      <c r="W524">
        <v>0</v>
      </c>
      <c r="X524">
        <f t="shared" ca="1" si="98"/>
        <v>-357</v>
      </c>
      <c r="Y524">
        <v>0</v>
      </c>
      <c r="Z524">
        <v>0</v>
      </c>
      <c r="AA524">
        <v>43</v>
      </c>
      <c r="AB524" t="s">
        <v>65</v>
      </c>
      <c r="AC524" t="s">
        <v>170</v>
      </c>
      <c r="AD524">
        <v>1</v>
      </c>
      <c r="AE524">
        <v>52</v>
      </c>
      <c r="AF524">
        <v>2257</v>
      </c>
      <c r="AG524" t="s">
        <v>47</v>
      </c>
      <c r="AH524" t="s">
        <v>226</v>
      </c>
      <c r="AI524" t="s">
        <v>227</v>
      </c>
      <c r="AJ524" t="s">
        <v>50</v>
      </c>
      <c r="AK524" t="s">
        <v>51</v>
      </c>
      <c r="AL524">
        <v>3.6726999999999999</v>
      </c>
      <c r="AM524" t="s">
        <v>52</v>
      </c>
      <c r="AN524" t="s">
        <v>162</v>
      </c>
      <c r="AO524" t="s">
        <v>163</v>
      </c>
      <c r="AP524" t="s">
        <v>164</v>
      </c>
      <c r="AQ524" t="s">
        <v>55</v>
      </c>
    </row>
    <row r="525" spans="1:43" x14ac:dyDescent="0.3">
      <c r="A525" t="s">
        <v>43</v>
      </c>
      <c r="B525">
        <v>1999</v>
      </c>
      <c r="C525">
        <v>535</v>
      </c>
      <c r="D525">
        <v>5511</v>
      </c>
      <c r="E525">
        <v>10</v>
      </c>
      <c r="F525">
        <v>202305</v>
      </c>
      <c r="G525">
        <v>1100109</v>
      </c>
      <c r="H525" t="s">
        <v>160</v>
      </c>
      <c r="I525" t="s">
        <v>45</v>
      </c>
      <c r="J525">
        <v>7</v>
      </c>
      <c r="K525">
        <f t="shared" ca="1" si="89"/>
        <v>10</v>
      </c>
      <c r="L525">
        <f t="shared" ca="1" si="90"/>
        <v>-12</v>
      </c>
      <c r="M525">
        <f t="shared" ca="1" si="91"/>
        <v>29</v>
      </c>
      <c r="N525">
        <f t="shared" ca="1" si="91"/>
        <v>174</v>
      </c>
      <c r="O525">
        <f t="shared" ca="1" si="88"/>
        <v>162</v>
      </c>
      <c r="P525">
        <f t="shared" ca="1" si="92"/>
        <v>910</v>
      </c>
      <c r="Q525">
        <f t="shared" ca="1" si="93"/>
        <v>618</v>
      </c>
      <c r="R525">
        <f t="shared" ca="1" si="94"/>
        <v>394</v>
      </c>
      <c r="S525">
        <f t="shared" ca="1" si="95"/>
        <v>10526</v>
      </c>
      <c r="T525">
        <f t="shared" ca="1" si="96"/>
        <v>9255</v>
      </c>
      <c r="U525">
        <f t="shared" ca="1" si="97"/>
        <v>920</v>
      </c>
      <c r="V525">
        <v>0</v>
      </c>
      <c r="W525">
        <v>0</v>
      </c>
      <c r="X525">
        <f t="shared" ca="1" si="98"/>
        <v>-180</v>
      </c>
      <c r="Y525">
        <v>0</v>
      </c>
      <c r="Z525">
        <v>0</v>
      </c>
      <c r="AA525">
        <v>48</v>
      </c>
      <c r="AB525" t="s">
        <v>65</v>
      </c>
      <c r="AC525" t="s">
        <v>171</v>
      </c>
      <c r="AD525">
        <v>1</v>
      </c>
      <c r="AE525">
        <v>52</v>
      </c>
      <c r="AF525">
        <v>2257</v>
      </c>
      <c r="AG525" t="s">
        <v>47</v>
      </c>
      <c r="AH525" t="s">
        <v>226</v>
      </c>
      <c r="AI525" t="s">
        <v>227</v>
      </c>
      <c r="AJ525" t="s">
        <v>50</v>
      </c>
      <c r="AK525" t="s">
        <v>51</v>
      </c>
      <c r="AL525">
        <v>3.6726999999999999</v>
      </c>
      <c r="AM525" t="s">
        <v>52</v>
      </c>
      <c r="AN525" t="s">
        <v>162</v>
      </c>
      <c r="AO525" t="s">
        <v>163</v>
      </c>
      <c r="AP525" t="s">
        <v>164</v>
      </c>
      <c r="AQ525" t="s">
        <v>55</v>
      </c>
    </row>
    <row r="526" spans="1:43" x14ac:dyDescent="0.3">
      <c r="A526" t="s">
        <v>43</v>
      </c>
      <c r="B526">
        <v>1999</v>
      </c>
      <c r="C526">
        <v>535</v>
      </c>
      <c r="D526">
        <v>5511</v>
      </c>
      <c r="E526">
        <v>10</v>
      </c>
      <c r="F526">
        <v>202305</v>
      </c>
      <c r="G526">
        <v>1100110</v>
      </c>
      <c r="H526" t="s">
        <v>160</v>
      </c>
      <c r="I526" t="s">
        <v>45</v>
      </c>
      <c r="J526">
        <v>7</v>
      </c>
      <c r="K526">
        <f t="shared" ca="1" si="89"/>
        <v>76</v>
      </c>
      <c r="L526">
        <f t="shared" ca="1" si="90"/>
        <v>-73</v>
      </c>
      <c r="M526">
        <f t="shared" ca="1" si="91"/>
        <v>486</v>
      </c>
      <c r="N526">
        <f t="shared" ca="1" si="91"/>
        <v>275</v>
      </c>
      <c r="O526">
        <f t="shared" ca="1" si="88"/>
        <v>604</v>
      </c>
      <c r="P526">
        <f t="shared" ca="1" si="92"/>
        <v>1035</v>
      </c>
      <c r="Q526">
        <f t="shared" ca="1" si="93"/>
        <v>230</v>
      </c>
      <c r="R526">
        <f t="shared" ca="1" si="94"/>
        <v>-36</v>
      </c>
      <c r="S526">
        <f t="shared" ca="1" si="95"/>
        <v>11579</v>
      </c>
      <c r="T526">
        <f t="shared" ca="1" si="96"/>
        <v>9266</v>
      </c>
      <c r="U526">
        <f t="shared" ca="1" si="97"/>
        <v>406</v>
      </c>
      <c r="V526">
        <v>0</v>
      </c>
      <c r="W526">
        <v>0</v>
      </c>
      <c r="X526">
        <f t="shared" ca="1" si="98"/>
        <v>-173</v>
      </c>
      <c r="Y526">
        <v>0</v>
      </c>
      <c r="Z526">
        <v>0</v>
      </c>
      <c r="AA526">
        <v>2</v>
      </c>
      <c r="AB526" t="s">
        <v>65</v>
      </c>
      <c r="AC526" t="s">
        <v>172</v>
      </c>
      <c r="AD526">
        <v>1</v>
      </c>
      <c r="AE526">
        <v>52</v>
      </c>
      <c r="AF526">
        <v>2257</v>
      </c>
      <c r="AG526" t="s">
        <v>47</v>
      </c>
      <c r="AH526" t="s">
        <v>226</v>
      </c>
      <c r="AI526" t="s">
        <v>227</v>
      </c>
      <c r="AJ526" t="s">
        <v>50</v>
      </c>
      <c r="AK526" t="s">
        <v>51</v>
      </c>
      <c r="AL526">
        <v>3.6726999999999999</v>
      </c>
      <c r="AM526" t="s">
        <v>52</v>
      </c>
      <c r="AN526" t="s">
        <v>162</v>
      </c>
      <c r="AO526" t="s">
        <v>163</v>
      </c>
      <c r="AP526" t="s">
        <v>164</v>
      </c>
      <c r="AQ526" t="s">
        <v>55</v>
      </c>
    </row>
    <row r="527" spans="1:43" x14ac:dyDescent="0.3">
      <c r="A527" t="s">
        <v>43</v>
      </c>
      <c r="B527">
        <v>1999</v>
      </c>
      <c r="C527">
        <v>535</v>
      </c>
      <c r="D527">
        <v>5511</v>
      </c>
      <c r="E527">
        <v>10</v>
      </c>
      <c r="F527">
        <v>202305</v>
      </c>
      <c r="G527">
        <v>1100126</v>
      </c>
      <c r="H527" t="s">
        <v>160</v>
      </c>
      <c r="I527" t="s">
        <v>45</v>
      </c>
      <c r="J527">
        <v>7</v>
      </c>
      <c r="K527">
        <f t="shared" ca="1" si="89"/>
        <v>96</v>
      </c>
      <c r="L527">
        <f t="shared" ca="1" si="90"/>
        <v>-60</v>
      </c>
      <c r="M527">
        <f t="shared" ca="1" si="91"/>
        <v>336</v>
      </c>
      <c r="N527">
        <f t="shared" ca="1" si="91"/>
        <v>-34</v>
      </c>
      <c r="O527">
        <f t="shared" ca="1" si="88"/>
        <v>368</v>
      </c>
      <c r="P527">
        <f t="shared" ca="1" si="92"/>
        <v>-405</v>
      </c>
      <c r="Q527">
        <f t="shared" ca="1" si="93"/>
        <v>1015</v>
      </c>
      <c r="R527">
        <f t="shared" ca="1" si="94"/>
        <v>315</v>
      </c>
      <c r="S527">
        <f t="shared" ca="1" si="95"/>
        <v>10805</v>
      </c>
      <c r="T527">
        <f t="shared" ca="1" si="96"/>
        <v>349</v>
      </c>
      <c r="U527">
        <f t="shared" ca="1" si="97"/>
        <v>841</v>
      </c>
      <c r="V527">
        <v>0</v>
      </c>
      <c r="W527">
        <v>0</v>
      </c>
      <c r="X527">
        <f t="shared" ca="1" si="98"/>
        <v>-299</v>
      </c>
      <c r="Y527">
        <v>0</v>
      </c>
      <c r="Z527">
        <v>0</v>
      </c>
      <c r="AA527">
        <v>0</v>
      </c>
      <c r="AB527" t="s">
        <v>65</v>
      </c>
      <c r="AC527" t="s">
        <v>186</v>
      </c>
      <c r="AD527">
        <v>1</v>
      </c>
      <c r="AE527">
        <v>52</v>
      </c>
      <c r="AF527">
        <v>2257</v>
      </c>
      <c r="AG527" t="s">
        <v>47</v>
      </c>
      <c r="AH527" t="s">
        <v>226</v>
      </c>
      <c r="AI527" t="s">
        <v>227</v>
      </c>
      <c r="AJ527" t="s">
        <v>50</v>
      </c>
      <c r="AK527" t="s">
        <v>51</v>
      </c>
      <c r="AL527">
        <v>3.6726999999999999</v>
      </c>
      <c r="AM527" t="s">
        <v>52</v>
      </c>
      <c r="AN527" t="s">
        <v>162</v>
      </c>
      <c r="AO527" t="s">
        <v>163</v>
      </c>
      <c r="AP527" t="s">
        <v>164</v>
      </c>
      <c r="AQ527" t="s">
        <v>55</v>
      </c>
    </row>
    <row r="528" spans="1:43" x14ac:dyDescent="0.3">
      <c r="A528" t="s">
        <v>43</v>
      </c>
      <c r="B528">
        <v>1999</v>
      </c>
      <c r="C528">
        <v>535</v>
      </c>
      <c r="D528">
        <v>5511</v>
      </c>
      <c r="E528">
        <v>10</v>
      </c>
      <c r="F528">
        <v>202305</v>
      </c>
      <c r="G528">
        <v>1100127</v>
      </c>
      <c r="H528" t="s">
        <v>160</v>
      </c>
      <c r="I528" t="s">
        <v>45</v>
      </c>
      <c r="J528">
        <v>7</v>
      </c>
      <c r="K528">
        <f t="shared" ca="1" si="89"/>
        <v>3</v>
      </c>
      <c r="L528">
        <f t="shared" ca="1" si="90"/>
        <v>-99</v>
      </c>
      <c r="M528">
        <f t="shared" ca="1" si="91"/>
        <v>342</v>
      </c>
      <c r="N528">
        <f t="shared" ca="1" si="91"/>
        <v>451</v>
      </c>
      <c r="O528">
        <f t="shared" ca="1" si="88"/>
        <v>301</v>
      </c>
      <c r="P528">
        <f t="shared" ca="1" si="92"/>
        <v>832</v>
      </c>
      <c r="Q528">
        <f t="shared" ca="1" si="93"/>
        <v>366</v>
      </c>
      <c r="R528">
        <f t="shared" ca="1" si="94"/>
        <v>301</v>
      </c>
      <c r="S528">
        <f t="shared" ca="1" si="95"/>
        <v>12616</v>
      </c>
      <c r="T528">
        <f t="shared" ca="1" si="96"/>
        <v>8328</v>
      </c>
      <c r="U528">
        <f t="shared" ca="1" si="97"/>
        <v>650</v>
      </c>
      <c r="V528">
        <v>0</v>
      </c>
      <c r="W528">
        <v>0</v>
      </c>
      <c r="X528">
        <f t="shared" ca="1" si="98"/>
        <v>-325</v>
      </c>
      <c r="Y528">
        <v>0</v>
      </c>
      <c r="Z528">
        <v>0</v>
      </c>
      <c r="AA528">
        <v>29</v>
      </c>
      <c r="AB528" t="s">
        <v>65</v>
      </c>
      <c r="AC528" t="s">
        <v>173</v>
      </c>
      <c r="AD528">
        <v>1</v>
      </c>
      <c r="AE528">
        <v>52</v>
      </c>
      <c r="AF528">
        <v>2257</v>
      </c>
      <c r="AG528" t="s">
        <v>47</v>
      </c>
      <c r="AH528" t="s">
        <v>226</v>
      </c>
      <c r="AI528" t="s">
        <v>227</v>
      </c>
      <c r="AJ528" t="s">
        <v>50</v>
      </c>
      <c r="AK528" t="s">
        <v>51</v>
      </c>
      <c r="AL528">
        <v>3.6726999999999999</v>
      </c>
      <c r="AM528" t="s">
        <v>52</v>
      </c>
      <c r="AN528" t="s">
        <v>162</v>
      </c>
      <c r="AO528" t="s">
        <v>163</v>
      </c>
      <c r="AP528" t="s">
        <v>164</v>
      </c>
      <c r="AQ528" t="s">
        <v>55</v>
      </c>
    </row>
    <row r="529" spans="1:43" x14ac:dyDescent="0.3">
      <c r="A529" t="s">
        <v>43</v>
      </c>
      <c r="B529">
        <v>1999</v>
      </c>
      <c r="C529">
        <v>535</v>
      </c>
      <c r="D529">
        <v>5511</v>
      </c>
      <c r="E529">
        <v>10</v>
      </c>
      <c r="F529">
        <v>202305</v>
      </c>
      <c r="G529">
        <v>1101208</v>
      </c>
      <c r="H529" t="s">
        <v>160</v>
      </c>
      <c r="I529" t="s">
        <v>45</v>
      </c>
      <c r="J529">
        <v>7</v>
      </c>
      <c r="K529">
        <f t="shared" ca="1" si="89"/>
        <v>61</v>
      </c>
      <c r="L529">
        <f t="shared" ca="1" si="90"/>
        <v>-5</v>
      </c>
      <c r="M529">
        <f t="shared" ca="1" si="91"/>
        <v>288</v>
      </c>
      <c r="N529">
        <f t="shared" ca="1" si="91"/>
        <v>191</v>
      </c>
      <c r="O529">
        <f t="shared" ca="1" si="88"/>
        <v>901</v>
      </c>
      <c r="P529">
        <f t="shared" ca="1" si="92"/>
        <v>1444</v>
      </c>
      <c r="Q529">
        <f t="shared" ca="1" si="93"/>
        <v>1189</v>
      </c>
      <c r="R529">
        <f t="shared" ca="1" si="94"/>
        <v>250</v>
      </c>
      <c r="S529">
        <f t="shared" ca="1" si="95"/>
        <v>1216</v>
      </c>
      <c r="T529">
        <f t="shared" ca="1" si="96"/>
        <v>2717</v>
      </c>
      <c r="U529">
        <f t="shared" ca="1" si="97"/>
        <v>612</v>
      </c>
      <c r="V529">
        <v>0</v>
      </c>
      <c r="W529">
        <v>0</v>
      </c>
      <c r="X529">
        <f t="shared" ca="1" si="98"/>
        <v>-117</v>
      </c>
      <c r="Y529">
        <v>0</v>
      </c>
      <c r="Z529">
        <v>0</v>
      </c>
      <c r="AA529">
        <v>32</v>
      </c>
      <c r="AB529" t="s">
        <v>65</v>
      </c>
      <c r="AC529" t="s">
        <v>174</v>
      </c>
      <c r="AD529">
        <v>1</v>
      </c>
      <c r="AE529">
        <v>52</v>
      </c>
      <c r="AF529">
        <v>2257</v>
      </c>
      <c r="AG529" t="s">
        <v>47</v>
      </c>
      <c r="AH529" t="s">
        <v>226</v>
      </c>
      <c r="AI529" t="s">
        <v>227</v>
      </c>
      <c r="AJ529" t="s">
        <v>50</v>
      </c>
      <c r="AK529" t="s">
        <v>51</v>
      </c>
      <c r="AL529">
        <v>3.6726999999999999</v>
      </c>
      <c r="AM529" t="s">
        <v>52</v>
      </c>
      <c r="AN529" t="s">
        <v>162</v>
      </c>
      <c r="AO529" t="s">
        <v>163</v>
      </c>
      <c r="AP529" t="s">
        <v>164</v>
      </c>
      <c r="AQ529" t="s">
        <v>55</v>
      </c>
    </row>
    <row r="530" spans="1:43" x14ac:dyDescent="0.3">
      <c r="A530" t="s">
        <v>43</v>
      </c>
      <c r="B530">
        <v>1999</v>
      </c>
      <c r="C530">
        <v>535</v>
      </c>
      <c r="D530">
        <v>5511</v>
      </c>
      <c r="E530">
        <v>10</v>
      </c>
      <c r="F530">
        <v>202305</v>
      </c>
      <c r="G530">
        <v>1101209</v>
      </c>
      <c r="H530" t="s">
        <v>160</v>
      </c>
      <c r="I530" t="s">
        <v>45</v>
      </c>
      <c r="J530">
        <v>7</v>
      </c>
      <c r="K530">
        <f t="shared" ca="1" si="89"/>
        <v>30</v>
      </c>
      <c r="L530">
        <f t="shared" ca="1" si="90"/>
        <v>64</v>
      </c>
      <c r="M530">
        <f t="shared" ca="1" si="91"/>
        <v>320</v>
      </c>
      <c r="N530">
        <f t="shared" ca="1" si="91"/>
        <v>440</v>
      </c>
      <c r="O530">
        <f t="shared" ca="1" si="88"/>
        <v>109</v>
      </c>
      <c r="P530">
        <f t="shared" ca="1" si="92"/>
        <v>433</v>
      </c>
      <c r="Q530">
        <f t="shared" ca="1" si="93"/>
        <v>565</v>
      </c>
      <c r="R530">
        <f t="shared" ca="1" si="94"/>
        <v>-52</v>
      </c>
      <c r="S530">
        <f t="shared" ca="1" si="95"/>
        <v>10481</v>
      </c>
      <c r="T530">
        <f t="shared" ca="1" si="96"/>
        <v>5859</v>
      </c>
      <c r="U530">
        <f t="shared" ca="1" si="97"/>
        <v>216</v>
      </c>
      <c r="V530">
        <v>0</v>
      </c>
      <c r="W530">
        <v>0</v>
      </c>
      <c r="X530">
        <f t="shared" ca="1" si="98"/>
        <v>-282</v>
      </c>
      <c r="Y530">
        <v>0</v>
      </c>
      <c r="Z530">
        <v>0</v>
      </c>
      <c r="AA530">
        <v>6</v>
      </c>
      <c r="AB530" t="s">
        <v>65</v>
      </c>
      <c r="AC530" t="s">
        <v>175</v>
      </c>
      <c r="AD530">
        <v>1</v>
      </c>
      <c r="AE530">
        <v>52</v>
      </c>
      <c r="AF530">
        <v>2257</v>
      </c>
      <c r="AG530" t="s">
        <v>47</v>
      </c>
      <c r="AH530" t="s">
        <v>226</v>
      </c>
      <c r="AI530" t="s">
        <v>227</v>
      </c>
      <c r="AJ530" t="s">
        <v>50</v>
      </c>
      <c r="AK530" t="s">
        <v>51</v>
      </c>
      <c r="AL530">
        <v>3.6726999999999999</v>
      </c>
      <c r="AM530" t="s">
        <v>52</v>
      </c>
      <c r="AN530" t="s">
        <v>162</v>
      </c>
      <c r="AO530" t="s">
        <v>163</v>
      </c>
      <c r="AP530" t="s">
        <v>164</v>
      </c>
      <c r="AQ530" t="s">
        <v>55</v>
      </c>
    </row>
    <row r="531" spans="1:43" x14ac:dyDescent="0.3">
      <c r="A531" t="s">
        <v>43</v>
      </c>
      <c r="B531">
        <v>1999</v>
      </c>
      <c r="C531">
        <v>535</v>
      </c>
      <c r="D531">
        <v>5511</v>
      </c>
      <c r="E531">
        <v>10</v>
      </c>
      <c r="F531">
        <v>202305</v>
      </c>
      <c r="G531">
        <v>1115110</v>
      </c>
      <c r="H531" t="s">
        <v>160</v>
      </c>
      <c r="I531" t="s">
        <v>45</v>
      </c>
      <c r="J531">
        <v>7</v>
      </c>
      <c r="K531">
        <f t="shared" ca="1" si="89"/>
        <v>51</v>
      </c>
      <c r="L531">
        <f t="shared" ca="1" si="90"/>
        <v>27</v>
      </c>
      <c r="M531">
        <f t="shared" ca="1" si="91"/>
        <v>202</v>
      </c>
      <c r="N531">
        <f t="shared" ca="1" si="91"/>
        <v>327</v>
      </c>
      <c r="O531">
        <f t="shared" ca="1" si="88"/>
        <v>310</v>
      </c>
      <c r="P531">
        <f t="shared" ca="1" si="92"/>
        <v>1306</v>
      </c>
      <c r="Q531">
        <f t="shared" ca="1" si="93"/>
        <v>66</v>
      </c>
      <c r="R531">
        <f t="shared" ca="1" si="94"/>
        <v>445</v>
      </c>
      <c r="S531">
        <f t="shared" ca="1" si="95"/>
        <v>3279</v>
      </c>
      <c r="T531">
        <f t="shared" ca="1" si="96"/>
        <v>9033</v>
      </c>
      <c r="U531">
        <f t="shared" ca="1" si="97"/>
        <v>908</v>
      </c>
      <c r="V531">
        <v>0</v>
      </c>
      <c r="W531">
        <v>0</v>
      </c>
      <c r="X531">
        <f t="shared" ca="1" si="98"/>
        <v>88</v>
      </c>
      <c r="Y531">
        <v>0</v>
      </c>
      <c r="Z531">
        <v>0</v>
      </c>
      <c r="AA531">
        <v>100</v>
      </c>
      <c r="AB531" t="s">
        <v>65</v>
      </c>
      <c r="AC531" t="s">
        <v>176</v>
      </c>
      <c r="AD531">
        <v>1</v>
      </c>
      <c r="AE531">
        <v>52</v>
      </c>
      <c r="AF531">
        <v>2257</v>
      </c>
      <c r="AG531" t="s">
        <v>47</v>
      </c>
      <c r="AH531" t="s">
        <v>226</v>
      </c>
      <c r="AI531" t="s">
        <v>227</v>
      </c>
      <c r="AJ531" t="s">
        <v>50</v>
      </c>
      <c r="AK531" t="s">
        <v>51</v>
      </c>
      <c r="AL531">
        <v>3.6726999999999999</v>
      </c>
      <c r="AM531" t="s">
        <v>52</v>
      </c>
      <c r="AN531" t="s">
        <v>162</v>
      </c>
      <c r="AO531" t="s">
        <v>163</v>
      </c>
      <c r="AP531" t="s">
        <v>164</v>
      </c>
      <c r="AQ531" t="s">
        <v>55</v>
      </c>
    </row>
    <row r="532" spans="1:43" x14ac:dyDescent="0.3">
      <c r="A532" t="s">
        <v>43</v>
      </c>
      <c r="B532">
        <v>1999</v>
      </c>
      <c r="C532">
        <v>535</v>
      </c>
      <c r="D532">
        <v>5511</v>
      </c>
      <c r="E532">
        <v>10</v>
      </c>
      <c r="F532">
        <v>202305</v>
      </c>
      <c r="G532">
        <v>1200023</v>
      </c>
      <c r="H532" t="s">
        <v>160</v>
      </c>
      <c r="I532" t="s">
        <v>45</v>
      </c>
      <c r="J532">
        <v>7</v>
      </c>
      <c r="K532">
        <f t="shared" ca="1" si="89"/>
        <v>17</v>
      </c>
      <c r="L532">
        <f t="shared" ca="1" si="90"/>
        <v>-37</v>
      </c>
      <c r="M532">
        <f t="shared" ca="1" si="91"/>
        <v>212</v>
      </c>
      <c r="N532">
        <f t="shared" ca="1" si="91"/>
        <v>248</v>
      </c>
      <c r="O532">
        <f t="shared" ca="1" si="88"/>
        <v>620</v>
      </c>
      <c r="P532">
        <f t="shared" ca="1" si="92"/>
        <v>-79</v>
      </c>
      <c r="Q532">
        <f t="shared" ca="1" si="93"/>
        <v>29</v>
      </c>
      <c r="R532">
        <f t="shared" ca="1" si="94"/>
        <v>116</v>
      </c>
      <c r="S532">
        <f t="shared" ca="1" si="95"/>
        <v>7831</v>
      </c>
      <c r="T532">
        <f t="shared" ca="1" si="96"/>
        <v>9949</v>
      </c>
      <c r="U532">
        <f t="shared" ca="1" si="97"/>
        <v>936</v>
      </c>
      <c r="V532">
        <v>0</v>
      </c>
      <c r="W532">
        <v>0</v>
      </c>
      <c r="X532">
        <f t="shared" ca="1" si="98"/>
        <v>-56</v>
      </c>
      <c r="Y532">
        <v>0</v>
      </c>
      <c r="Z532">
        <v>0</v>
      </c>
      <c r="AA532">
        <v>39</v>
      </c>
      <c r="AB532" t="s">
        <v>177</v>
      </c>
      <c r="AC532" t="s">
        <v>200</v>
      </c>
      <c r="AD532">
        <v>1</v>
      </c>
      <c r="AE532">
        <v>52</v>
      </c>
      <c r="AF532">
        <v>2257</v>
      </c>
      <c r="AG532" t="s">
        <v>47</v>
      </c>
      <c r="AH532" t="s">
        <v>226</v>
      </c>
      <c r="AI532" t="s">
        <v>227</v>
      </c>
      <c r="AJ532" t="s">
        <v>50</v>
      </c>
      <c r="AK532" t="s">
        <v>51</v>
      </c>
      <c r="AL532">
        <v>3.6726999999999999</v>
      </c>
      <c r="AM532" t="s">
        <v>52</v>
      </c>
      <c r="AN532" t="s">
        <v>162</v>
      </c>
      <c r="AO532" t="s">
        <v>163</v>
      </c>
      <c r="AP532" t="s">
        <v>164</v>
      </c>
      <c r="AQ532" t="s">
        <v>55</v>
      </c>
    </row>
    <row r="533" spans="1:43" x14ac:dyDescent="0.3">
      <c r="A533" t="s">
        <v>43</v>
      </c>
      <c r="B533">
        <v>1999</v>
      </c>
      <c r="C533">
        <v>535</v>
      </c>
      <c r="D533">
        <v>5511</v>
      </c>
      <c r="E533">
        <v>10</v>
      </c>
      <c r="F533">
        <v>202305</v>
      </c>
      <c r="G533">
        <v>1200025</v>
      </c>
      <c r="H533" t="s">
        <v>160</v>
      </c>
      <c r="I533" t="s">
        <v>45</v>
      </c>
      <c r="J533">
        <v>7</v>
      </c>
      <c r="K533">
        <f t="shared" ca="1" si="89"/>
        <v>74</v>
      </c>
      <c r="L533">
        <f t="shared" ca="1" si="90"/>
        <v>53</v>
      </c>
      <c r="M533">
        <f t="shared" ca="1" si="91"/>
        <v>329</v>
      </c>
      <c r="N533">
        <f t="shared" ca="1" si="91"/>
        <v>290</v>
      </c>
      <c r="O533">
        <f t="shared" ca="1" si="88"/>
        <v>131</v>
      </c>
      <c r="P533">
        <f t="shared" ca="1" si="92"/>
        <v>-284</v>
      </c>
      <c r="Q533">
        <f t="shared" ca="1" si="93"/>
        <v>876</v>
      </c>
      <c r="R533">
        <f t="shared" ca="1" si="94"/>
        <v>474</v>
      </c>
      <c r="S533">
        <f t="shared" ca="1" si="95"/>
        <v>14754</v>
      </c>
      <c r="T533">
        <f t="shared" ca="1" si="96"/>
        <v>7670</v>
      </c>
      <c r="U533">
        <f t="shared" ca="1" si="97"/>
        <v>1037</v>
      </c>
      <c r="V533">
        <v>0</v>
      </c>
      <c r="W533">
        <v>0</v>
      </c>
      <c r="X533">
        <f t="shared" ca="1" si="98"/>
        <v>-63</v>
      </c>
      <c r="Y533">
        <v>0</v>
      </c>
      <c r="Z533">
        <v>0</v>
      </c>
      <c r="AA533">
        <v>32</v>
      </c>
      <c r="AB533" t="s">
        <v>177</v>
      </c>
      <c r="AC533" t="s">
        <v>151</v>
      </c>
      <c r="AD533">
        <v>1</v>
      </c>
      <c r="AE533">
        <v>52</v>
      </c>
      <c r="AF533">
        <v>2257</v>
      </c>
      <c r="AG533" t="s">
        <v>47</v>
      </c>
      <c r="AH533" t="s">
        <v>226</v>
      </c>
      <c r="AI533" t="s">
        <v>227</v>
      </c>
      <c r="AJ533" t="s">
        <v>50</v>
      </c>
      <c r="AK533" t="s">
        <v>51</v>
      </c>
      <c r="AL533">
        <v>3.6726999999999999</v>
      </c>
      <c r="AM533" t="s">
        <v>52</v>
      </c>
      <c r="AN533" t="s">
        <v>162</v>
      </c>
      <c r="AO533" t="s">
        <v>163</v>
      </c>
      <c r="AP533" t="s">
        <v>164</v>
      </c>
      <c r="AQ533" t="s">
        <v>55</v>
      </c>
    </row>
    <row r="534" spans="1:43" x14ac:dyDescent="0.3">
      <c r="A534" t="s">
        <v>43</v>
      </c>
      <c r="B534">
        <v>1999</v>
      </c>
      <c r="C534">
        <v>535</v>
      </c>
      <c r="D534">
        <v>5511</v>
      </c>
      <c r="E534">
        <v>10</v>
      </c>
      <c r="F534">
        <v>202305</v>
      </c>
      <c r="G534">
        <v>1200111</v>
      </c>
      <c r="H534" t="s">
        <v>160</v>
      </c>
      <c r="I534" t="s">
        <v>45</v>
      </c>
      <c r="J534">
        <v>7</v>
      </c>
      <c r="K534">
        <f t="shared" ca="1" si="89"/>
        <v>87</v>
      </c>
      <c r="L534">
        <f t="shared" ca="1" si="90"/>
        <v>90</v>
      </c>
      <c r="M534">
        <f t="shared" ca="1" si="91"/>
        <v>119</v>
      </c>
      <c r="N534">
        <f t="shared" ca="1" si="91"/>
        <v>76</v>
      </c>
      <c r="O534">
        <f t="shared" ca="1" si="88"/>
        <v>953</v>
      </c>
      <c r="P534">
        <f t="shared" ca="1" si="92"/>
        <v>555</v>
      </c>
      <c r="Q534">
        <f t="shared" ca="1" si="93"/>
        <v>37</v>
      </c>
      <c r="R534">
        <f t="shared" ca="1" si="94"/>
        <v>-44</v>
      </c>
      <c r="S534">
        <f t="shared" ca="1" si="95"/>
        <v>13712</v>
      </c>
      <c r="T534">
        <f t="shared" ca="1" si="96"/>
        <v>4900</v>
      </c>
      <c r="U534">
        <f t="shared" ca="1" si="97"/>
        <v>157</v>
      </c>
      <c r="V534">
        <v>0</v>
      </c>
      <c r="W534">
        <v>0</v>
      </c>
      <c r="X534">
        <f t="shared" ca="1" si="98"/>
        <v>-273</v>
      </c>
      <c r="Y534">
        <v>0</v>
      </c>
      <c r="Z534">
        <v>0</v>
      </c>
      <c r="AA534">
        <v>9</v>
      </c>
      <c r="AB534" t="s">
        <v>177</v>
      </c>
      <c r="AC534" t="s">
        <v>178</v>
      </c>
      <c r="AD534">
        <v>1</v>
      </c>
      <c r="AE534">
        <v>52</v>
      </c>
      <c r="AF534">
        <v>2257</v>
      </c>
      <c r="AG534" t="s">
        <v>47</v>
      </c>
      <c r="AH534" t="s">
        <v>226</v>
      </c>
      <c r="AI534" t="s">
        <v>227</v>
      </c>
      <c r="AJ534" t="s">
        <v>50</v>
      </c>
      <c r="AK534" t="s">
        <v>51</v>
      </c>
      <c r="AL534">
        <v>3.6726999999999999</v>
      </c>
      <c r="AM534" t="s">
        <v>52</v>
      </c>
      <c r="AN534" t="s">
        <v>162</v>
      </c>
      <c r="AO534" t="s">
        <v>163</v>
      </c>
      <c r="AP534" t="s">
        <v>164</v>
      </c>
      <c r="AQ534" t="s">
        <v>55</v>
      </c>
    </row>
    <row r="535" spans="1:43" x14ac:dyDescent="0.3">
      <c r="A535" t="s">
        <v>43</v>
      </c>
      <c r="B535">
        <v>1999</v>
      </c>
      <c r="C535">
        <v>535</v>
      </c>
      <c r="D535">
        <v>5511</v>
      </c>
      <c r="E535">
        <v>10</v>
      </c>
      <c r="F535">
        <v>202305</v>
      </c>
      <c r="G535">
        <v>1200112</v>
      </c>
      <c r="H535" t="s">
        <v>160</v>
      </c>
      <c r="I535" t="s">
        <v>45</v>
      </c>
      <c r="J535">
        <v>7</v>
      </c>
      <c r="K535">
        <f t="shared" ca="1" si="89"/>
        <v>47</v>
      </c>
      <c r="L535">
        <f t="shared" ca="1" si="90"/>
        <v>77</v>
      </c>
      <c r="M535">
        <f t="shared" ca="1" si="91"/>
        <v>285</v>
      </c>
      <c r="N535">
        <f t="shared" ca="1" si="91"/>
        <v>-10</v>
      </c>
      <c r="O535">
        <f t="shared" ca="1" si="88"/>
        <v>635</v>
      </c>
      <c r="P535">
        <f t="shared" ca="1" si="92"/>
        <v>1264</v>
      </c>
      <c r="Q535">
        <f t="shared" ca="1" si="93"/>
        <v>855</v>
      </c>
      <c r="R535">
        <f t="shared" ca="1" si="94"/>
        <v>133</v>
      </c>
      <c r="S535">
        <f t="shared" ca="1" si="95"/>
        <v>6604</v>
      </c>
      <c r="T535">
        <f t="shared" ca="1" si="96"/>
        <v>3972</v>
      </c>
      <c r="U535">
        <f t="shared" ca="1" si="97"/>
        <v>848</v>
      </c>
      <c r="V535">
        <v>0</v>
      </c>
      <c r="W535">
        <v>0</v>
      </c>
      <c r="X535">
        <f t="shared" ca="1" si="98"/>
        <v>90</v>
      </c>
      <c r="Y535">
        <v>0</v>
      </c>
      <c r="Z535">
        <v>0</v>
      </c>
      <c r="AA535">
        <v>4</v>
      </c>
      <c r="AB535" t="s">
        <v>177</v>
      </c>
      <c r="AC535" t="s">
        <v>179</v>
      </c>
      <c r="AD535">
        <v>1</v>
      </c>
      <c r="AE535">
        <v>52</v>
      </c>
      <c r="AF535">
        <v>2257</v>
      </c>
      <c r="AG535" t="s">
        <v>47</v>
      </c>
      <c r="AH535" t="s">
        <v>226</v>
      </c>
      <c r="AI535" t="s">
        <v>227</v>
      </c>
      <c r="AJ535" t="s">
        <v>50</v>
      </c>
      <c r="AK535" t="s">
        <v>51</v>
      </c>
      <c r="AL535">
        <v>3.6726999999999999</v>
      </c>
      <c r="AM535" t="s">
        <v>52</v>
      </c>
      <c r="AN535" t="s">
        <v>162</v>
      </c>
      <c r="AO535" t="s">
        <v>163</v>
      </c>
      <c r="AP535" t="s">
        <v>164</v>
      </c>
      <c r="AQ535" t="s">
        <v>55</v>
      </c>
    </row>
    <row r="536" spans="1:43" x14ac:dyDescent="0.3">
      <c r="A536" t="s">
        <v>43</v>
      </c>
      <c r="B536">
        <v>1999</v>
      </c>
      <c r="C536">
        <v>535</v>
      </c>
      <c r="D536">
        <v>5511</v>
      </c>
      <c r="E536">
        <v>10</v>
      </c>
      <c r="F536">
        <v>202305</v>
      </c>
      <c r="G536">
        <v>1200113</v>
      </c>
      <c r="H536" t="s">
        <v>160</v>
      </c>
      <c r="I536" t="s">
        <v>45</v>
      </c>
      <c r="J536">
        <v>7</v>
      </c>
      <c r="K536">
        <f t="shared" ca="1" si="89"/>
        <v>73</v>
      </c>
      <c r="L536">
        <f t="shared" ca="1" si="90"/>
        <v>-57</v>
      </c>
      <c r="M536">
        <f t="shared" ca="1" si="91"/>
        <v>-87</v>
      </c>
      <c r="N536">
        <f t="shared" ca="1" si="91"/>
        <v>150</v>
      </c>
      <c r="O536">
        <f t="shared" ca="1" si="88"/>
        <v>831</v>
      </c>
      <c r="P536">
        <f t="shared" ca="1" si="92"/>
        <v>-241</v>
      </c>
      <c r="Q536">
        <f t="shared" ca="1" si="93"/>
        <v>459</v>
      </c>
      <c r="R536">
        <f t="shared" ca="1" si="94"/>
        <v>170</v>
      </c>
      <c r="S536">
        <f t="shared" ca="1" si="95"/>
        <v>9456</v>
      </c>
      <c r="T536">
        <f t="shared" ca="1" si="96"/>
        <v>9051</v>
      </c>
      <c r="U536">
        <f t="shared" ca="1" si="97"/>
        <v>-31</v>
      </c>
      <c r="V536">
        <v>0</v>
      </c>
      <c r="W536">
        <v>0</v>
      </c>
      <c r="X536">
        <f t="shared" ca="1" si="98"/>
        <v>-246</v>
      </c>
      <c r="Y536">
        <v>0</v>
      </c>
      <c r="Z536">
        <v>0</v>
      </c>
      <c r="AA536">
        <v>4</v>
      </c>
      <c r="AB536" t="s">
        <v>177</v>
      </c>
      <c r="AC536" t="s">
        <v>180</v>
      </c>
      <c r="AD536">
        <v>1</v>
      </c>
      <c r="AE536">
        <v>52</v>
      </c>
      <c r="AF536">
        <v>2257</v>
      </c>
      <c r="AG536" t="s">
        <v>47</v>
      </c>
      <c r="AH536" t="s">
        <v>226</v>
      </c>
      <c r="AI536" t="s">
        <v>227</v>
      </c>
      <c r="AJ536" t="s">
        <v>50</v>
      </c>
      <c r="AK536" t="s">
        <v>51</v>
      </c>
      <c r="AL536">
        <v>3.6726999999999999</v>
      </c>
      <c r="AM536" t="s">
        <v>52</v>
      </c>
      <c r="AN536" t="s">
        <v>162</v>
      </c>
      <c r="AO536" t="s">
        <v>163</v>
      </c>
      <c r="AP536" t="s">
        <v>164</v>
      </c>
      <c r="AQ536" t="s">
        <v>55</v>
      </c>
    </row>
    <row r="537" spans="1:43" x14ac:dyDescent="0.3">
      <c r="A537" t="s">
        <v>43</v>
      </c>
      <c r="B537">
        <v>1999</v>
      </c>
      <c r="C537">
        <v>535</v>
      </c>
      <c r="D537">
        <v>5511</v>
      </c>
      <c r="E537">
        <v>10</v>
      </c>
      <c r="F537">
        <v>202305</v>
      </c>
      <c r="G537">
        <v>1200114</v>
      </c>
      <c r="H537" t="s">
        <v>160</v>
      </c>
      <c r="I537" t="s">
        <v>45</v>
      </c>
      <c r="J537">
        <v>7</v>
      </c>
      <c r="K537">
        <f t="shared" ca="1" si="89"/>
        <v>82</v>
      </c>
      <c r="L537">
        <f t="shared" ca="1" si="90"/>
        <v>13</v>
      </c>
      <c r="M537">
        <f t="shared" ca="1" si="91"/>
        <v>17</v>
      </c>
      <c r="N537">
        <f t="shared" ca="1" si="91"/>
        <v>377</v>
      </c>
      <c r="O537">
        <f t="shared" ca="1" si="88"/>
        <v>557</v>
      </c>
      <c r="P537">
        <f t="shared" ca="1" si="92"/>
        <v>33</v>
      </c>
      <c r="Q537">
        <f t="shared" ca="1" si="93"/>
        <v>108</v>
      </c>
      <c r="R537">
        <f t="shared" ca="1" si="94"/>
        <v>31</v>
      </c>
      <c r="S537">
        <f t="shared" ca="1" si="95"/>
        <v>7800</v>
      </c>
      <c r="T537">
        <f t="shared" ca="1" si="96"/>
        <v>7834</v>
      </c>
      <c r="U537">
        <f t="shared" ca="1" si="97"/>
        <v>1131</v>
      </c>
      <c r="V537">
        <v>0</v>
      </c>
      <c r="W537">
        <v>0</v>
      </c>
      <c r="X537">
        <f t="shared" ca="1" si="98"/>
        <v>-464</v>
      </c>
      <c r="Y537">
        <v>0</v>
      </c>
      <c r="Z537">
        <v>0</v>
      </c>
      <c r="AA537">
        <v>38</v>
      </c>
      <c r="AB537" t="s">
        <v>177</v>
      </c>
      <c r="AC537" t="s">
        <v>181</v>
      </c>
      <c r="AD537">
        <v>1</v>
      </c>
      <c r="AE537">
        <v>52</v>
      </c>
      <c r="AF537">
        <v>2257</v>
      </c>
      <c r="AG537" t="s">
        <v>47</v>
      </c>
      <c r="AH537" t="s">
        <v>226</v>
      </c>
      <c r="AI537" t="s">
        <v>227</v>
      </c>
      <c r="AJ537" t="s">
        <v>50</v>
      </c>
      <c r="AK537" t="s">
        <v>51</v>
      </c>
      <c r="AL537">
        <v>3.6726999999999999</v>
      </c>
      <c r="AM537" t="s">
        <v>52</v>
      </c>
      <c r="AN537" t="s">
        <v>162</v>
      </c>
      <c r="AO537" t="s">
        <v>163</v>
      </c>
      <c r="AP537" t="s">
        <v>164</v>
      </c>
      <c r="AQ537" t="s">
        <v>55</v>
      </c>
    </row>
    <row r="538" spans="1:43" x14ac:dyDescent="0.3">
      <c r="A538" t="s">
        <v>43</v>
      </c>
      <c r="B538">
        <v>1999</v>
      </c>
      <c r="C538">
        <v>535</v>
      </c>
      <c r="D538">
        <v>5511</v>
      </c>
      <c r="E538">
        <v>10</v>
      </c>
      <c r="F538">
        <v>202305</v>
      </c>
      <c r="G538">
        <v>1200115</v>
      </c>
      <c r="H538" t="s">
        <v>160</v>
      </c>
      <c r="I538" t="s">
        <v>45</v>
      </c>
      <c r="J538">
        <v>7</v>
      </c>
      <c r="K538">
        <f t="shared" ca="1" si="89"/>
        <v>54</v>
      </c>
      <c r="L538">
        <f t="shared" ca="1" si="90"/>
        <v>76</v>
      </c>
      <c r="M538">
        <f t="shared" ca="1" si="91"/>
        <v>31</v>
      </c>
      <c r="N538">
        <f t="shared" ca="1" si="91"/>
        <v>87</v>
      </c>
      <c r="O538">
        <f t="shared" ca="1" si="88"/>
        <v>167</v>
      </c>
      <c r="P538">
        <f t="shared" ca="1" si="92"/>
        <v>-121</v>
      </c>
      <c r="Q538">
        <f t="shared" ca="1" si="93"/>
        <v>738</v>
      </c>
      <c r="R538">
        <f t="shared" ca="1" si="94"/>
        <v>-40</v>
      </c>
      <c r="S538">
        <f t="shared" ca="1" si="95"/>
        <v>12325</v>
      </c>
      <c r="T538">
        <f t="shared" ca="1" si="96"/>
        <v>1325</v>
      </c>
      <c r="U538">
        <f t="shared" ca="1" si="97"/>
        <v>1228</v>
      </c>
      <c r="V538">
        <v>0</v>
      </c>
      <c r="W538">
        <v>0</v>
      </c>
      <c r="X538">
        <f t="shared" ca="1" si="98"/>
        <v>-464</v>
      </c>
      <c r="Y538">
        <v>0</v>
      </c>
      <c r="Z538">
        <v>0</v>
      </c>
      <c r="AA538">
        <v>6</v>
      </c>
      <c r="AB538" t="s">
        <v>177</v>
      </c>
      <c r="AC538" t="s">
        <v>182</v>
      </c>
      <c r="AD538">
        <v>1</v>
      </c>
      <c r="AE538">
        <v>52</v>
      </c>
      <c r="AF538">
        <v>2257</v>
      </c>
      <c r="AG538" t="s">
        <v>47</v>
      </c>
      <c r="AH538" t="s">
        <v>226</v>
      </c>
      <c r="AI538" t="s">
        <v>227</v>
      </c>
      <c r="AJ538" t="s">
        <v>50</v>
      </c>
      <c r="AK538" t="s">
        <v>51</v>
      </c>
      <c r="AL538">
        <v>3.6726999999999999</v>
      </c>
      <c r="AM538" t="s">
        <v>52</v>
      </c>
      <c r="AN538" t="s">
        <v>162</v>
      </c>
      <c r="AO538" t="s">
        <v>163</v>
      </c>
      <c r="AP538" t="s">
        <v>164</v>
      </c>
      <c r="AQ538" t="s">
        <v>55</v>
      </c>
    </row>
    <row r="539" spans="1:43" x14ac:dyDescent="0.3">
      <c r="A539" t="s">
        <v>43</v>
      </c>
      <c r="B539">
        <v>1999</v>
      </c>
      <c r="C539">
        <v>535</v>
      </c>
      <c r="D539">
        <v>5511</v>
      </c>
      <c r="E539">
        <v>10</v>
      </c>
      <c r="F539">
        <v>202305</v>
      </c>
      <c r="G539">
        <v>1200116</v>
      </c>
      <c r="H539" t="s">
        <v>160</v>
      </c>
      <c r="I539" t="s">
        <v>45</v>
      </c>
      <c r="J539">
        <v>7</v>
      </c>
      <c r="K539">
        <f t="shared" ca="1" si="89"/>
        <v>29</v>
      </c>
      <c r="L539">
        <f t="shared" ca="1" si="90"/>
        <v>-37</v>
      </c>
      <c r="M539">
        <f t="shared" ca="1" si="91"/>
        <v>-80</v>
      </c>
      <c r="N539">
        <f t="shared" ca="1" si="91"/>
        <v>46</v>
      </c>
      <c r="O539">
        <f t="shared" ca="1" si="88"/>
        <v>768</v>
      </c>
      <c r="P539">
        <f t="shared" ca="1" si="92"/>
        <v>1403</v>
      </c>
      <c r="Q539">
        <f t="shared" ca="1" si="93"/>
        <v>326</v>
      </c>
      <c r="R539">
        <f t="shared" ca="1" si="94"/>
        <v>71</v>
      </c>
      <c r="S539">
        <f t="shared" ca="1" si="95"/>
        <v>14076</v>
      </c>
      <c r="T539">
        <f t="shared" ca="1" si="96"/>
        <v>1563</v>
      </c>
      <c r="U539">
        <f t="shared" ca="1" si="97"/>
        <v>560</v>
      </c>
      <c r="V539">
        <v>0</v>
      </c>
      <c r="W539">
        <v>0</v>
      </c>
      <c r="X539">
        <f t="shared" ca="1" si="98"/>
        <v>33</v>
      </c>
      <c r="Y539">
        <v>0</v>
      </c>
      <c r="Z539">
        <v>0</v>
      </c>
      <c r="AA539">
        <v>7</v>
      </c>
      <c r="AB539" t="s">
        <v>177</v>
      </c>
      <c r="AC539" t="s">
        <v>183</v>
      </c>
      <c r="AD539">
        <v>1</v>
      </c>
      <c r="AE539">
        <v>52</v>
      </c>
      <c r="AF539">
        <v>2257</v>
      </c>
      <c r="AG539" t="s">
        <v>47</v>
      </c>
      <c r="AH539" t="s">
        <v>226</v>
      </c>
      <c r="AI539" t="s">
        <v>227</v>
      </c>
      <c r="AJ539" t="s">
        <v>50</v>
      </c>
      <c r="AK539" t="s">
        <v>51</v>
      </c>
      <c r="AL539">
        <v>3.6726999999999999</v>
      </c>
      <c r="AM539" t="s">
        <v>52</v>
      </c>
      <c r="AN539" t="s">
        <v>162</v>
      </c>
      <c r="AO539" t="s">
        <v>163</v>
      </c>
      <c r="AP539" t="s">
        <v>164</v>
      </c>
      <c r="AQ539" t="s">
        <v>55</v>
      </c>
    </row>
    <row r="540" spans="1:43" x14ac:dyDescent="0.3">
      <c r="A540" t="s">
        <v>43</v>
      </c>
      <c r="B540">
        <v>1999</v>
      </c>
      <c r="C540">
        <v>535</v>
      </c>
      <c r="D540">
        <v>5511</v>
      </c>
      <c r="E540">
        <v>10</v>
      </c>
      <c r="F540">
        <v>202305</v>
      </c>
      <c r="G540">
        <v>1200117</v>
      </c>
      <c r="H540" t="s">
        <v>160</v>
      </c>
      <c r="I540" t="s">
        <v>45</v>
      </c>
      <c r="J540">
        <v>7</v>
      </c>
      <c r="K540">
        <f t="shared" ca="1" si="89"/>
        <v>11</v>
      </c>
      <c r="L540">
        <f t="shared" ca="1" si="90"/>
        <v>96</v>
      </c>
      <c r="M540">
        <f t="shared" ca="1" si="91"/>
        <v>410</v>
      </c>
      <c r="N540">
        <f t="shared" ca="1" si="91"/>
        <v>355</v>
      </c>
      <c r="O540">
        <f t="shared" ca="1" si="88"/>
        <v>768</v>
      </c>
      <c r="P540">
        <f t="shared" ca="1" si="92"/>
        <v>819</v>
      </c>
      <c r="Q540">
        <f t="shared" ca="1" si="93"/>
        <v>748</v>
      </c>
      <c r="R540">
        <f t="shared" ca="1" si="94"/>
        <v>328</v>
      </c>
      <c r="S540">
        <f t="shared" ca="1" si="95"/>
        <v>13730</v>
      </c>
      <c r="T540">
        <f t="shared" ca="1" si="96"/>
        <v>3445</v>
      </c>
      <c r="U540">
        <f t="shared" ca="1" si="97"/>
        <v>180</v>
      </c>
      <c r="V540">
        <v>0</v>
      </c>
      <c r="W540">
        <v>0</v>
      </c>
      <c r="X540">
        <f t="shared" ca="1" si="98"/>
        <v>-22</v>
      </c>
      <c r="Y540">
        <v>0</v>
      </c>
      <c r="Z540">
        <v>15</v>
      </c>
      <c r="AA540">
        <v>33</v>
      </c>
      <c r="AB540" t="s">
        <v>177</v>
      </c>
      <c r="AC540" t="s">
        <v>184</v>
      </c>
      <c r="AD540">
        <v>1</v>
      </c>
      <c r="AE540">
        <v>52</v>
      </c>
      <c r="AF540">
        <v>2257</v>
      </c>
      <c r="AG540" t="s">
        <v>47</v>
      </c>
      <c r="AH540" t="s">
        <v>226</v>
      </c>
      <c r="AI540" t="s">
        <v>227</v>
      </c>
      <c r="AJ540" t="s">
        <v>50</v>
      </c>
      <c r="AK540" t="s">
        <v>51</v>
      </c>
      <c r="AL540">
        <v>3.6726999999999999</v>
      </c>
      <c r="AM540" t="s">
        <v>52</v>
      </c>
      <c r="AN540" t="s">
        <v>162</v>
      </c>
      <c r="AO540" t="s">
        <v>163</v>
      </c>
      <c r="AP540" t="s">
        <v>164</v>
      </c>
      <c r="AQ540" t="s">
        <v>55</v>
      </c>
    </row>
    <row r="541" spans="1:43" x14ac:dyDescent="0.3">
      <c r="A541" t="s">
        <v>43</v>
      </c>
      <c r="B541">
        <v>1999</v>
      </c>
      <c r="C541">
        <v>535</v>
      </c>
      <c r="D541">
        <v>5511</v>
      </c>
      <c r="E541">
        <v>10</v>
      </c>
      <c r="F541">
        <v>202305</v>
      </c>
      <c r="G541">
        <v>1200119</v>
      </c>
      <c r="H541" t="s">
        <v>160</v>
      </c>
      <c r="I541" t="s">
        <v>45</v>
      </c>
      <c r="J541">
        <v>7</v>
      </c>
      <c r="K541">
        <f t="shared" ca="1" si="89"/>
        <v>45</v>
      </c>
      <c r="L541">
        <f t="shared" ca="1" si="90"/>
        <v>-30</v>
      </c>
      <c r="M541">
        <f t="shared" ca="1" si="91"/>
        <v>70</v>
      </c>
      <c r="N541">
        <f t="shared" ca="1" si="91"/>
        <v>109</v>
      </c>
      <c r="O541">
        <f t="shared" ca="1" si="88"/>
        <v>845</v>
      </c>
      <c r="P541">
        <f t="shared" ca="1" si="92"/>
        <v>-131</v>
      </c>
      <c r="Q541">
        <f t="shared" ca="1" si="93"/>
        <v>121</v>
      </c>
      <c r="R541">
        <f t="shared" ca="1" si="94"/>
        <v>493</v>
      </c>
      <c r="S541">
        <f t="shared" ca="1" si="95"/>
        <v>6104</v>
      </c>
      <c r="T541">
        <f t="shared" ca="1" si="96"/>
        <v>313</v>
      </c>
      <c r="U541">
        <f t="shared" ca="1" si="97"/>
        <v>269</v>
      </c>
      <c r="V541">
        <v>0</v>
      </c>
      <c r="W541">
        <v>0</v>
      </c>
      <c r="X541">
        <f t="shared" ca="1" si="98"/>
        <v>62</v>
      </c>
      <c r="Y541">
        <v>0</v>
      </c>
      <c r="Z541">
        <v>0</v>
      </c>
      <c r="AA541">
        <v>0</v>
      </c>
      <c r="AB541" t="s">
        <v>177</v>
      </c>
      <c r="AC541" t="s">
        <v>278</v>
      </c>
      <c r="AD541">
        <v>1</v>
      </c>
      <c r="AE541">
        <v>52</v>
      </c>
      <c r="AF541">
        <v>2257</v>
      </c>
      <c r="AG541" t="s">
        <v>47</v>
      </c>
      <c r="AH541" t="s">
        <v>226</v>
      </c>
      <c r="AI541" t="s">
        <v>227</v>
      </c>
      <c r="AJ541" t="s">
        <v>50</v>
      </c>
      <c r="AK541" t="s">
        <v>51</v>
      </c>
      <c r="AL541">
        <v>3.6726999999999999</v>
      </c>
      <c r="AM541" t="s">
        <v>52</v>
      </c>
      <c r="AN541" t="s">
        <v>162</v>
      </c>
      <c r="AO541" t="s">
        <v>163</v>
      </c>
      <c r="AP541" t="s">
        <v>164</v>
      </c>
      <c r="AQ541" t="s">
        <v>55</v>
      </c>
    </row>
    <row r="542" spans="1:43" x14ac:dyDescent="0.3">
      <c r="A542" t="s">
        <v>43</v>
      </c>
      <c r="B542">
        <v>1999</v>
      </c>
      <c r="C542">
        <v>535</v>
      </c>
      <c r="D542">
        <v>5511</v>
      </c>
      <c r="E542">
        <v>10</v>
      </c>
      <c r="F542">
        <v>202305</v>
      </c>
      <c r="G542">
        <v>1200123</v>
      </c>
      <c r="H542" t="s">
        <v>160</v>
      </c>
      <c r="I542" t="s">
        <v>45</v>
      </c>
      <c r="J542">
        <v>7</v>
      </c>
      <c r="K542">
        <f t="shared" ca="1" si="89"/>
        <v>27</v>
      </c>
      <c r="L542">
        <f t="shared" ca="1" si="90"/>
        <v>-90</v>
      </c>
      <c r="M542">
        <f t="shared" ca="1" si="91"/>
        <v>429</v>
      </c>
      <c r="N542">
        <f t="shared" ca="1" si="91"/>
        <v>404</v>
      </c>
      <c r="O542">
        <f t="shared" ca="1" si="88"/>
        <v>747</v>
      </c>
      <c r="P542">
        <f t="shared" ca="1" si="92"/>
        <v>819</v>
      </c>
      <c r="Q542">
        <f t="shared" ca="1" si="93"/>
        <v>1173</v>
      </c>
      <c r="R542">
        <f t="shared" ca="1" si="94"/>
        <v>351</v>
      </c>
      <c r="S542">
        <f t="shared" ca="1" si="95"/>
        <v>14942</v>
      </c>
      <c r="T542">
        <f t="shared" ca="1" si="96"/>
        <v>359</v>
      </c>
      <c r="U542">
        <f t="shared" ca="1" si="97"/>
        <v>1010</v>
      </c>
      <c r="V542">
        <v>0</v>
      </c>
      <c r="W542">
        <v>0</v>
      </c>
      <c r="X542">
        <f t="shared" ca="1" si="98"/>
        <v>-162</v>
      </c>
      <c r="Y542">
        <v>0</v>
      </c>
      <c r="Z542">
        <v>-18</v>
      </c>
      <c r="AA542">
        <v>16</v>
      </c>
      <c r="AB542" t="s">
        <v>177</v>
      </c>
      <c r="AC542" t="s">
        <v>185</v>
      </c>
      <c r="AD542">
        <v>1</v>
      </c>
      <c r="AE542">
        <v>52</v>
      </c>
      <c r="AF542">
        <v>2257</v>
      </c>
      <c r="AG542" t="s">
        <v>47</v>
      </c>
      <c r="AH542" t="s">
        <v>226</v>
      </c>
      <c r="AI542" t="s">
        <v>227</v>
      </c>
      <c r="AJ542" t="s">
        <v>50</v>
      </c>
      <c r="AK542" t="s">
        <v>51</v>
      </c>
      <c r="AL542">
        <v>3.6726999999999999</v>
      </c>
      <c r="AM542" t="s">
        <v>52</v>
      </c>
      <c r="AN542" t="s">
        <v>162</v>
      </c>
      <c r="AO542" t="s">
        <v>163</v>
      </c>
      <c r="AP542" t="s">
        <v>164</v>
      </c>
      <c r="AQ542" t="s">
        <v>55</v>
      </c>
    </row>
    <row r="543" spans="1:43" x14ac:dyDescent="0.3">
      <c r="A543" t="s">
        <v>43</v>
      </c>
      <c r="B543">
        <v>1999</v>
      </c>
      <c r="C543">
        <v>535</v>
      </c>
      <c r="D543">
        <v>5511</v>
      </c>
      <c r="E543">
        <v>10</v>
      </c>
      <c r="F543">
        <v>202305</v>
      </c>
      <c r="G543">
        <v>1200126</v>
      </c>
      <c r="H543" t="s">
        <v>160</v>
      </c>
      <c r="I543" t="s">
        <v>45</v>
      </c>
      <c r="J543">
        <v>7</v>
      </c>
      <c r="K543">
        <f t="shared" ca="1" si="89"/>
        <v>19</v>
      </c>
      <c r="L543">
        <f t="shared" ca="1" si="90"/>
        <v>-50</v>
      </c>
      <c r="M543">
        <f t="shared" ca="1" si="91"/>
        <v>259</v>
      </c>
      <c r="N543">
        <f t="shared" ca="1" si="91"/>
        <v>0</v>
      </c>
      <c r="O543">
        <f t="shared" ca="1" si="88"/>
        <v>210</v>
      </c>
      <c r="P543">
        <f t="shared" ca="1" si="92"/>
        <v>1180</v>
      </c>
      <c r="Q543">
        <f t="shared" ca="1" si="93"/>
        <v>694</v>
      </c>
      <c r="R543">
        <f t="shared" ca="1" si="94"/>
        <v>-83</v>
      </c>
      <c r="S543">
        <f t="shared" ca="1" si="95"/>
        <v>13928</v>
      </c>
      <c r="T543">
        <f t="shared" ca="1" si="96"/>
        <v>7952</v>
      </c>
      <c r="U543">
        <f t="shared" ca="1" si="97"/>
        <v>216</v>
      </c>
      <c r="V543">
        <v>0</v>
      </c>
      <c r="W543">
        <v>0</v>
      </c>
      <c r="X543">
        <f t="shared" ca="1" si="98"/>
        <v>-107</v>
      </c>
      <c r="Y543">
        <v>0</v>
      </c>
      <c r="Z543">
        <v>0</v>
      </c>
      <c r="AA543">
        <v>13</v>
      </c>
      <c r="AB543" t="s">
        <v>177</v>
      </c>
      <c r="AC543" t="s">
        <v>186</v>
      </c>
      <c r="AD543">
        <v>1</v>
      </c>
      <c r="AE543">
        <v>52</v>
      </c>
      <c r="AF543">
        <v>2257</v>
      </c>
      <c r="AG543" t="s">
        <v>47</v>
      </c>
      <c r="AH543" t="s">
        <v>226</v>
      </c>
      <c r="AI543" t="s">
        <v>227</v>
      </c>
      <c r="AJ543" t="s">
        <v>50</v>
      </c>
      <c r="AK543" t="s">
        <v>51</v>
      </c>
      <c r="AL543">
        <v>3.6726999999999999</v>
      </c>
      <c r="AM543" t="s">
        <v>52</v>
      </c>
      <c r="AN543" t="s">
        <v>162</v>
      </c>
      <c r="AO543" t="s">
        <v>163</v>
      </c>
      <c r="AP543" t="s">
        <v>164</v>
      </c>
      <c r="AQ543" t="s">
        <v>55</v>
      </c>
    </row>
    <row r="544" spans="1:43" x14ac:dyDescent="0.3">
      <c r="A544" t="s">
        <v>43</v>
      </c>
      <c r="B544">
        <v>1999</v>
      </c>
      <c r="C544">
        <v>535</v>
      </c>
      <c r="D544">
        <v>5511</v>
      </c>
      <c r="E544">
        <v>10</v>
      </c>
      <c r="F544">
        <v>202305</v>
      </c>
      <c r="G544">
        <v>1300121</v>
      </c>
      <c r="H544" t="s">
        <v>160</v>
      </c>
      <c r="I544" t="s">
        <v>45</v>
      </c>
      <c r="J544">
        <v>7</v>
      </c>
      <c r="K544">
        <f t="shared" ca="1" si="89"/>
        <v>73</v>
      </c>
      <c r="L544">
        <f t="shared" ca="1" si="90"/>
        <v>-26</v>
      </c>
      <c r="M544">
        <f t="shared" ca="1" si="91"/>
        <v>375</v>
      </c>
      <c r="N544">
        <f t="shared" ca="1" si="91"/>
        <v>216</v>
      </c>
      <c r="O544">
        <f t="shared" ca="1" si="88"/>
        <v>655</v>
      </c>
      <c r="P544">
        <f t="shared" ca="1" si="92"/>
        <v>-256</v>
      </c>
      <c r="Q544">
        <f t="shared" ca="1" si="93"/>
        <v>424</v>
      </c>
      <c r="R544">
        <f t="shared" ca="1" si="94"/>
        <v>405</v>
      </c>
      <c r="S544">
        <f t="shared" ca="1" si="95"/>
        <v>6271</v>
      </c>
      <c r="T544">
        <f t="shared" ca="1" si="96"/>
        <v>490</v>
      </c>
      <c r="U544">
        <f t="shared" ca="1" si="97"/>
        <v>1022</v>
      </c>
      <c r="V544">
        <v>0</v>
      </c>
      <c r="W544">
        <v>0</v>
      </c>
      <c r="X544">
        <f t="shared" ca="1" si="98"/>
        <v>-142</v>
      </c>
      <c r="Y544">
        <v>0</v>
      </c>
      <c r="Z544">
        <v>0</v>
      </c>
      <c r="AA544">
        <v>3</v>
      </c>
      <c r="AB544" t="s">
        <v>187</v>
      </c>
      <c r="AC544" t="s">
        <v>188</v>
      </c>
      <c r="AD544">
        <v>1</v>
      </c>
      <c r="AE544">
        <v>52</v>
      </c>
      <c r="AF544">
        <v>2257</v>
      </c>
      <c r="AG544" t="s">
        <v>47</v>
      </c>
      <c r="AH544" t="s">
        <v>226</v>
      </c>
      <c r="AI544" t="s">
        <v>227</v>
      </c>
      <c r="AJ544" t="s">
        <v>50</v>
      </c>
      <c r="AK544" t="s">
        <v>51</v>
      </c>
      <c r="AL544">
        <v>3.6726999999999999</v>
      </c>
      <c r="AM544" t="s">
        <v>52</v>
      </c>
      <c r="AN544" t="s">
        <v>162</v>
      </c>
      <c r="AO544" t="s">
        <v>163</v>
      </c>
      <c r="AP544" t="s">
        <v>164</v>
      </c>
      <c r="AQ544" t="s">
        <v>55</v>
      </c>
    </row>
    <row r="545" spans="1:43" x14ac:dyDescent="0.3">
      <c r="A545" t="s">
        <v>43</v>
      </c>
      <c r="B545">
        <v>1999</v>
      </c>
      <c r="C545">
        <v>535</v>
      </c>
      <c r="D545">
        <v>5511</v>
      </c>
      <c r="E545">
        <v>10</v>
      </c>
      <c r="F545">
        <v>202305</v>
      </c>
      <c r="G545">
        <v>1300122</v>
      </c>
      <c r="H545" t="s">
        <v>160</v>
      </c>
      <c r="I545" t="s">
        <v>45</v>
      </c>
      <c r="J545">
        <v>7</v>
      </c>
      <c r="K545">
        <f t="shared" ca="1" si="89"/>
        <v>28</v>
      </c>
      <c r="L545">
        <f t="shared" ca="1" si="90"/>
        <v>18</v>
      </c>
      <c r="M545">
        <f t="shared" ca="1" si="91"/>
        <v>165</v>
      </c>
      <c r="N545">
        <f t="shared" ca="1" si="91"/>
        <v>286</v>
      </c>
      <c r="O545">
        <f t="shared" ca="1" si="88"/>
        <v>243</v>
      </c>
      <c r="P545">
        <f t="shared" ca="1" si="92"/>
        <v>1096</v>
      </c>
      <c r="Q545">
        <f t="shared" ca="1" si="93"/>
        <v>1094</v>
      </c>
      <c r="R545">
        <f t="shared" ca="1" si="94"/>
        <v>-2</v>
      </c>
      <c r="S545">
        <f t="shared" ca="1" si="95"/>
        <v>10742</v>
      </c>
      <c r="T545">
        <f t="shared" ca="1" si="96"/>
        <v>4885</v>
      </c>
      <c r="U545">
        <f t="shared" ca="1" si="97"/>
        <v>880</v>
      </c>
      <c r="V545">
        <v>0</v>
      </c>
      <c r="W545">
        <v>0</v>
      </c>
      <c r="X545">
        <f t="shared" ca="1" si="98"/>
        <v>-492</v>
      </c>
      <c r="Y545">
        <v>0</v>
      </c>
      <c r="Z545">
        <v>0</v>
      </c>
      <c r="AA545">
        <v>19</v>
      </c>
      <c r="AB545" t="s">
        <v>187</v>
      </c>
      <c r="AC545" t="s">
        <v>189</v>
      </c>
      <c r="AD545">
        <v>1</v>
      </c>
      <c r="AE545">
        <v>52</v>
      </c>
      <c r="AF545">
        <v>2257</v>
      </c>
      <c r="AG545" t="s">
        <v>47</v>
      </c>
      <c r="AH545" t="s">
        <v>226</v>
      </c>
      <c r="AI545" t="s">
        <v>227</v>
      </c>
      <c r="AJ545" t="s">
        <v>50</v>
      </c>
      <c r="AK545" t="s">
        <v>51</v>
      </c>
      <c r="AL545">
        <v>3.6726999999999999</v>
      </c>
      <c r="AM545" t="s">
        <v>52</v>
      </c>
      <c r="AN545" t="s">
        <v>162</v>
      </c>
      <c r="AO545" t="s">
        <v>163</v>
      </c>
      <c r="AP545" t="s">
        <v>164</v>
      </c>
      <c r="AQ545" t="s">
        <v>55</v>
      </c>
    </row>
    <row r="546" spans="1:43" x14ac:dyDescent="0.3">
      <c r="A546" t="s">
        <v>43</v>
      </c>
      <c r="B546">
        <v>1999</v>
      </c>
      <c r="C546">
        <v>535</v>
      </c>
      <c r="D546">
        <v>5511</v>
      </c>
      <c r="E546">
        <v>10</v>
      </c>
      <c r="F546">
        <v>202305</v>
      </c>
      <c r="G546">
        <v>1400131</v>
      </c>
      <c r="H546" t="s">
        <v>160</v>
      </c>
      <c r="I546" t="s">
        <v>45</v>
      </c>
      <c r="J546">
        <v>7</v>
      </c>
      <c r="K546">
        <f t="shared" ca="1" si="89"/>
        <v>43</v>
      </c>
      <c r="L546">
        <f t="shared" ca="1" si="90"/>
        <v>82</v>
      </c>
      <c r="M546">
        <f t="shared" ca="1" si="91"/>
        <v>-64</v>
      </c>
      <c r="N546">
        <f t="shared" ca="1" si="91"/>
        <v>425</v>
      </c>
      <c r="O546">
        <f t="shared" ca="1" si="88"/>
        <v>834</v>
      </c>
      <c r="P546">
        <f t="shared" ca="1" si="92"/>
        <v>1300</v>
      </c>
      <c r="Q546">
        <f t="shared" ca="1" si="93"/>
        <v>749</v>
      </c>
      <c r="R546">
        <f t="shared" ca="1" si="94"/>
        <v>180</v>
      </c>
      <c r="S546">
        <f t="shared" ca="1" si="95"/>
        <v>3690</v>
      </c>
      <c r="T546">
        <f t="shared" ca="1" si="96"/>
        <v>2627</v>
      </c>
      <c r="U546">
        <f t="shared" ca="1" si="97"/>
        <v>512</v>
      </c>
      <c r="V546">
        <v>0</v>
      </c>
      <c r="W546">
        <v>0</v>
      </c>
      <c r="X546">
        <f t="shared" ca="1" si="98"/>
        <v>-59</v>
      </c>
      <c r="Y546">
        <v>0</v>
      </c>
      <c r="Z546">
        <v>0</v>
      </c>
      <c r="AA546">
        <v>17</v>
      </c>
      <c r="AB546" t="s">
        <v>190</v>
      </c>
      <c r="AC546" t="s">
        <v>192</v>
      </c>
      <c r="AD546">
        <v>1</v>
      </c>
      <c r="AE546">
        <v>52</v>
      </c>
      <c r="AF546">
        <v>2257</v>
      </c>
      <c r="AG546" t="s">
        <v>47</v>
      </c>
      <c r="AH546" t="s">
        <v>226</v>
      </c>
      <c r="AI546" t="s">
        <v>227</v>
      </c>
      <c r="AJ546" t="s">
        <v>50</v>
      </c>
      <c r="AK546" t="s">
        <v>51</v>
      </c>
      <c r="AL546">
        <v>3.6726999999999999</v>
      </c>
      <c r="AM546" t="s">
        <v>52</v>
      </c>
      <c r="AN546" t="s">
        <v>162</v>
      </c>
      <c r="AO546" t="s">
        <v>163</v>
      </c>
      <c r="AP546" t="s">
        <v>164</v>
      </c>
      <c r="AQ546" t="s">
        <v>55</v>
      </c>
    </row>
    <row r="547" spans="1:43" x14ac:dyDescent="0.3">
      <c r="A547" t="s">
        <v>43</v>
      </c>
      <c r="B547">
        <v>1999</v>
      </c>
      <c r="C547">
        <v>535</v>
      </c>
      <c r="D547">
        <v>5511</v>
      </c>
      <c r="E547">
        <v>10</v>
      </c>
      <c r="F547">
        <v>202305</v>
      </c>
      <c r="G547">
        <v>1400132</v>
      </c>
      <c r="H547" t="s">
        <v>160</v>
      </c>
      <c r="I547" t="s">
        <v>45</v>
      </c>
      <c r="J547">
        <v>7</v>
      </c>
      <c r="K547">
        <f t="shared" ca="1" si="89"/>
        <v>34</v>
      </c>
      <c r="L547">
        <f t="shared" ca="1" si="90"/>
        <v>-71</v>
      </c>
      <c r="M547">
        <f t="shared" ca="1" si="91"/>
        <v>28</v>
      </c>
      <c r="N547">
        <f t="shared" ca="1" si="91"/>
        <v>300</v>
      </c>
      <c r="O547">
        <f t="shared" ca="1" si="88"/>
        <v>914</v>
      </c>
      <c r="P547">
        <f t="shared" ca="1" si="92"/>
        <v>593</v>
      </c>
      <c r="Q547">
        <f t="shared" ca="1" si="93"/>
        <v>251</v>
      </c>
      <c r="R547">
        <f t="shared" ca="1" si="94"/>
        <v>170</v>
      </c>
      <c r="S547">
        <f t="shared" ca="1" si="95"/>
        <v>997</v>
      </c>
      <c r="T547">
        <f t="shared" ca="1" si="96"/>
        <v>6256</v>
      </c>
      <c r="U547">
        <f t="shared" ca="1" si="97"/>
        <v>123</v>
      </c>
      <c r="V547">
        <v>0</v>
      </c>
      <c r="W547">
        <v>0</v>
      </c>
      <c r="X547">
        <f t="shared" ca="1" si="98"/>
        <v>5</v>
      </c>
      <c r="Y547">
        <v>0</v>
      </c>
      <c r="Z547">
        <v>0</v>
      </c>
      <c r="AA547">
        <v>59</v>
      </c>
      <c r="AB547" t="s">
        <v>190</v>
      </c>
      <c r="AC547" t="s">
        <v>193</v>
      </c>
      <c r="AD547">
        <v>1</v>
      </c>
      <c r="AE547">
        <v>52</v>
      </c>
      <c r="AF547">
        <v>2257</v>
      </c>
      <c r="AG547" t="s">
        <v>47</v>
      </c>
      <c r="AH547" t="s">
        <v>226</v>
      </c>
      <c r="AI547" t="s">
        <v>227</v>
      </c>
      <c r="AJ547" t="s">
        <v>50</v>
      </c>
      <c r="AK547" t="s">
        <v>51</v>
      </c>
      <c r="AL547">
        <v>3.6726999999999999</v>
      </c>
      <c r="AM547" t="s">
        <v>52</v>
      </c>
      <c r="AN547" t="s">
        <v>162</v>
      </c>
      <c r="AO547" t="s">
        <v>163</v>
      </c>
      <c r="AP547" t="s">
        <v>164</v>
      </c>
      <c r="AQ547" t="s">
        <v>55</v>
      </c>
    </row>
    <row r="548" spans="1:43" x14ac:dyDescent="0.3">
      <c r="A548" t="s">
        <v>43</v>
      </c>
      <c r="B548">
        <v>1999</v>
      </c>
      <c r="C548">
        <v>535</v>
      </c>
      <c r="D548">
        <v>5511</v>
      </c>
      <c r="E548">
        <v>10</v>
      </c>
      <c r="F548">
        <v>202305</v>
      </c>
      <c r="G548">
        <v>1500141</v>
      </c>
      <c r="H548" t="s">
        <v>160</v>
      </c>
      <c r="I548" t="s">
        <v>45</v>
      </c>
      <c r="J548">
        <v>7</v>
      </c>
      <c r="K548">
        <f t="shared" ca="1" si="89"/>
        <v>27</v>
      </c>
      <c r="L548">
        <f t="shared" ca="1" si="90"/>
        <v>3</v>
      </c>
      <c r="M548">
        <f t="shared" ca="1" si="91"/>
        <v>343</v>
      </c>
      <c r="N548">
        <f t="shared" ca="1" si="91"/>
        <v>165</v>
      </c>
      <c r="O548">
        <f t="shared" ca="1" si="88"/>
        <v>261</v>
      </c>
      <c r="P548">
        <f t="shared" ca="1" si="92"/>
        <v>1013</v>
      </c>
      <c r="Q548">
        <f t="shared" ca="1" si="93"/>
        <v>183</v>
      </c>
      <c r="R548">
        <f t="shared" ca="1" si="94"/>
        <v>8</v>
      </c>
      <c r="S548">
        <f t="shared" ca="1" si="95"/>
        <v>8833</v>
      </c>
      <c r="T548">
        <f t="shared" ca="1" si="96"/>
        <v>1431</v>
      </c>
      <c r="U548">
        <f t="shared" ca="1" si="97"/>
        <v>-84</v>
      </c>
      <c r="V548">
        <v>0</v>
      </c>
      <c r="W548">
        <v>0</v>
      </c>
      <c r="X548">
        <f t="shared" ca="1" si="98"/>
        <v>-136</v>
      </c>
      <c r="Y548">
        <v>0</v>
      </c>
      <c r="Z548">
        <v>0</v>
      </c>
      <c r="AA548">
        <v>67</v>
      </c>
      <c r="AB548" t="s">
        <v>195</v>
      </c>
      <c r="AC548" t="s">
        <v>196</v>
      </c>
      <c r="AD548">
        <v>1</v>
      </c>
      <c r="AE548">
        <v>52</v>
      </c>
      <c r="AF548">
        <v>2257</v>
      </c>
      <c r="AG548" t="s">
        <v>47</v>
      </c>
      <c r="AH548" t="s">
        <v>226</v>
      </c>
      <c r="AI548" t="s">
        <v>227</v>
      </c>
      <c r="AJ548" t="s">
        <v>50</v>
      </c>
      <c r="AK548" t="s">
        <v>51</v>
      </c>
      <c r="AL548">
        <v>3.6726999999999999</v>
      </c>
      <c r="AM548" t="s">
        <v>52</v>
      </c>
      <c r="AN548" t="s">
        <v>162</v>
      </c>
      <c r="AO548" t="s">
        <v>163</v>
      </c>
      <c r="AP548" t="s">
        <v>164</v>
      </c>
      <c r="AQ548" t="s">
        <v>55</v>
      </c>
    </row>
    <row r="549" spans="1:43" x14ac:dyDescent="0.3">
      <c r="A549" t="s">
        <v>43</v>
      </c>
      <c r="B549">
        <v>1999</v>
      </c>
      <c r="C549">
        <v>535</v>
      </c>
      <c r="D549">
        <v>5511</v>
      </c>
      <c r="E549">
        <v>10</v>
      </c>
      <c r="F549">
        <v>202305</v>
      </c>
      <c r="G549">
        <v>1500142</v>
      </c>
      <c r="H549" t="s">
        <v>160</v>
      </c>
      <c r="I549" t="s">
        <v>45</v>
      </c>
      <c r="J549">
        <v>7</v>
      </c>
      <c r="K549">
        <f t="shared" ca="1" si="89"/>
        <v>70</v>
      </c>
      <c r="L549">
        <f t="shared" ca="1" si="90"/>
        <v>-84</v>
      </c>
      <c r="M549">
        <f t="shared" ca="1" si="91"/>
        <v>285</v>
      </c>
      <c r="N549">
        <f t="shared" ca="1" si="91"/>
        <v>398</v>
      </c>
      <c r="O549">
        <f t="shared" ca="1" si="88"/>
        <v>608</v>
      </c>
      <c r="P549">
        <f t="shared" ca="1" si="92"/>
        <v>870</v>
      </c>
      <c r="Q549">
        <f t="shared" ca="1" si="93"/>
        <v>659</v>
      </c>
      <c r="R549">
        <f t="shared" ca="1" si="94"/>
        <v>324</v>
      </c>
      <c r="S549">
        <f t="shared" ca="1" si="95"/>
        <v>6873</v>
      </c>
      <c r="T549">
        <f t="shared" ca="1" si="96"/>
        <v>4342</v>
      </c>
      <c r="U549">
        <f t="shared" ca="1" si="97"/>
        <v>1195</v>
      </c>
      <c r="V549">
        <v>0</v>
      </c>
      <c r="W549">
        <v>0</v>
      </c>
      <c r="X549">
        <f t="shared" ca="1" si="98"/>
        <v>-462</v>
      </c>
      <c r="Y549">
        <v>0</v>
      </c>
      <c r="Z549">
        <v>0</v>
      </c>
      <c r="AA549">
        <v>13</v>
      </c>
      <c r="AB549" t="s">
        <v>195</v>
      </c>
      <c r="AC549" t="s">
        <v>197</v>
      </c>
      <c r="AD549">
        <v>1</v>
      </c>
      <c r="AE549">
        <v>52</v>
      </c>
      <c r="AF549">
        <v>2257</v>
      </c>
      <c r="AG549" t="s">
        <v>47</v>
      </c>
      <c r="AH549" t="s">
        <v>226</v>
      </c>
      <c r="AI549" t="s">
        <v>227</v>
      </c>
      <c r="AJ549" t="s">
        <v>50</v>
      </c>
      <c r="AK549" t="s">
        <v>51</v>
      </c>
      <c r="AL549">
        <v>3.6726999999999999</v>
      </c>
      <c r="AM549" t="s">
        <v>52</v>
      </c>
      <c r="AN549" t="s">
        <v>162</v>
      </c>
      <c r="AO549" t="s">
        <v>163</v>
      </c>
      <c r="AP549" t="s">
        <v>164</v>
      </c>
      <c r="AQ549" t="s">
        <v>55</v>
      </c>
    </row>
    <row r="550" spans="1:43" x14ac:dyDescent="0.3">
      <c r="A550" t="s">
        <v>43</v>
      </c>
      <c r="B550">
        <v>1999</v>
      </c>
      <c r="C550">
        <v>535</v>
      </c>
      <c r="D550">
        <v>5511</v>
      </c>
      <c r="E550">
        <v>10</v>
      </c>
      <c r="F550">
        <v>202305</v>
      </c>
      <c r="G550">
        <v>1500143</v>
      </c>
      <c r="H550" t="s">
        <v>160</v>
      </c>
      <c r="I550" t="s">
        <v>45</v>
      </c>
      <c r="J550">
        <v>7</v>
      </c>
      <c r="K550">
        <f t="shared" ca="1" si="89"/>
        <v>79</v>
      </c>
      <c r="L550">
        <f t="shared" ca="1" si="90"/>
        <v>-21</v>
      </c>
      <c r="M550">
        <f t="shared" ca="1" si="91"/>
        <v>-67</v>
      </c>
      <c r="N550">
        <f t="shared" ca="1" si="91"/>
        <v>428</v>
      </c>
      <c r="O550">
        <f t="shared" ca="1" si="88"/>
        <v>-60</v>
      </c>
      <c r="P550">
        <f t="shared" ca="1" si="92"/>
        <v>-217</v>
      </c>
      <c r="Q550">
        <f t="shared" ca="1" si="93"/>
        <v>1031</v>
      </c>
      <c r="R550">
        <f t="shared" ca="1" si="94"/>
        <v>-80</v>
      </c>
      <c r="S550">
        <f t="shared" ca="1" si="95"/>
        <v>8248</v>
      </c>
      <c r="T550">
        <f t="shared" ca="1" si="96"/>
        <v>1727</v>
      </c>
      <c r="U550">
        <f t="shared" ca="1" si="97"/>
        <v>339</v>
      </c>
      <c r="V550">
        <v>0</v>
      </c>
      <c r="W550">
        <v>0</v>
      </c>
      <c r="X550">
        <f t="shared" ca="1" si="98"/>
        <v>59</v>
      </c>
      <c r="Y550">
        <v>0</v>
      </c>
      <c r="Z550">
        <v>0</v>
      </c>
      <c r="AA550">
        <v>22</v>
      </c>
      <c r="AB550" t="s">
        <v>195</v>
      </c>
      <c r="AC550" t="s">
        <v>198</v>
      </c>
      <c r="AD550">
        <v>1</v>
      </c>
      <c r="AE550">
        <v>52</v>
      </c>
      <c r="AF550">
        <v>2257</v>
      </c>
      <c r="AG550" t="s">
        <v>47</v>
      </c>
      <c r="AH550" t="s">
        <v>226</v>
      </c>
      <c r="AI550" t="s">
        <v>227</v>
      </c>
      <c r="AJ550" t="s">
        <v>50</v>
      </c>
      <c r="AK550" t="s">
        <v>51</v>
      </c>
      <c r="AL550">
        <v>3.6726999999999999</v>
      </c>
      <c r="AM550" t="s">
        <v>52</v>
      </c>
      <c r="AN550" t="s">
        <v>162</v>
      </c>
      <c r="AO550" t="s">
        <v>163</v>
      </c>
      <c r="AP550" t="s">
        <v>164</v>
      </c>
      <c r="AQ550" t="s">
        <v>55</v>
      </c>
    </row>
    <row r="551" spans="1:43" x14ac:dyDescent="0.3">
      <c r="A551" t="s">
        <v>43</v>
      </c>
      <c r="B551">
        <v>1999</v>
      </c>
      <c r="C551">
        <v>535</v>
      </c>
      <c r="D551">
        <v>5511</v>
      </c>
      <c r="E551">
        <v>10</v>
      </c>
      <c r="F551">
        <v>202305</v>
      </c>
      <c r="G551">
        <v>1600023</v>
      </c>
      <c r="H551" t="s">
        <v>160</v>
      </c>
      <c r="I551" t="s">
        <v>45</v>
      </c>
      <c r="J551">
        <v>7</v>
      </c>
      <c r="K551">
        <f t="shared" ca="1" si="89"/>
        <v>16</v>
      </c>
      <c r="L551">
        <f t="shared" ca="1" si="90"/>
        <v>33</v>
      </c>
      <c r="M551">
        <f t="shared" ca="1" si="91"/>
        <v>46</v>
      </c>
      <c r="N551">
        <f t="shared" ca="1" si="91"/>
        <v>63</v>
      </c>
      <c r="O551">
        <f t="shared" ca="1" si="88"/>
        <v>249</v>
      </c>
      <c r="P551">
        <f t="shared" ca="1" si="92"/>
        <v>628</v>
      </c>
      <c r="Q551">
        <f t="shared" ca="1" si="93"/>
        <v>88</v>
      </c>
      <c r="R551">
        <f t="shared" ca="1" si="94"/>
        <v>-22</v>
      </c>
      <c r="S551">
        <f t="shared" ca="1" si="95"/>
        <v>4094</v>
      </c>
      <c r="T551">
        <f t="shared" ca="1" si="96"/>
        <v>4582</v>
      </c>
      <c r="U551">
        <f t="shared" ca="1" si="97"/>
        <v>665</v>
      </c>
      <c r="V551">
        <v>0</v>
      </c>
      <c r="W551">
        <v>0</v>
      </c>
      <c r="X551">
        <f t="shared" ca="1" si="98"/>
        <v>-216</v>
      </c>
      <c r="Y551">
        <v>0</v>
      </c>
      <c r="Z551">
        <v>2</v>
      </c>
      <c r="AA551">
        <v>0</v>
      </c>
      <c r="AB551" t="s">
        <v>199</v>
      </c>
      <c r="AC551" t="s">
        <v>200</v>
      </c>
      <c r="AD551">
        <v>1</v>
      </c>
      <c r="AE551">
        <v>52</v>
      </c>
      <c r="AF551">
        <v>2257</v>
      </c>
      <c r="AG551" t="s">
        <v>47</v>
      </c>
      <c r="AH551" t="s">
        <v>226</v>
      </c>
      <c r="AI551" t="s">
        <v>227</v>
      </c>
      <c r="AJ551" t="s">
        <v>50</v>
      </c>
      <c r="AK551" t="s">
        <v>51</v>
      </c>
      <c r="AL551">
        <v>3.6726999999999999</v>
      </c>
      <c r="AM551" t="s">
        <v>52</v>
      </c>
      <c r="AN551" t="s">
        <v>162</v>
      </c>
      <c r="AO551" t="s">
        <v>163</v>
      </c>
      <c r="AP551" t="s">
        <v>164</v>
      </c>
      <c r="AQ551" t="s">
        <v>55</v>
      </c>
    </row>
    <row r="552" spans="1:43" x14ac:dyDescent="0.3">
      <c r="A552" t="s">
        <v>43</v>
      </c>
      <c r="B552">
        <v>1999</v>
      </c>
      <c r="C552">
        <v>535</v>
      </c>
      <c r="D552">
        <v>5511</v>
      </c>
      <c r="E552">
        <v>10</v>
      </c>
      <c r="F552">
        <v>202305</v>
      </c>
      <c r="G552">
        <v>1600025</v>
      </c>
      <c r="H552" t="s">
        <v>160</v>
      </c>
      <c r="I552" t="s">
        <v>45</v>
      </c>
      <c r="J552">
        <v>7</v>
      </c>
      <c r="K552">
        <f t="shared" ca="1" si="89"/>
        <v>83</v>
      </c>
      <c r="L552">
        <f t="shared" ca="1" si="90"/>
        <v>12</v>
      </c>
      <c r="M552">
        <f t="shared" ca="1" si="91"/>
        <v>386</v>
      </c>
      <c r="N552">
        <f t="shared" ca="1" si="91"/>
        <v>34</v>
      </c>
      <c r="O552">
        <f t="shared" ca="1" si="88"/>
        <v>253</v>
      </c>
      <c r="P552">
        <f t="shared" ca="1" si="92"/>
        <v>363</v>
      </c>
      <c r="Q552">
        <f t="shared" ca="1" si="93"/>
        <v>800</v>
      </c>
      <c r="R552">
        <f t="shared" ca="1" si="94"/>
        <v>38</v>
      </c>
      <c r="S552">
        <f t="shared" ca="1" si="95"/>
        <v>10767</v>
      </c>
      <c r="T552">
        <f t="shared" ca="1" si="96"/>
        <v>8694</v>
      </c>
      <c r="U552">
        <f t="shared" ca="1" si="97"/>
        <v>663</v>
      </c>
      <c r="V552">
        <v>0</v>
      </c>
      <c r="W552">
        <v>0</v>
      </c>
      <c r="X552">
        <f t="shared" ca="1" si="98"/>
        <v>-145</v>
      </c>
      <c r="Y552">
        <v>0</v>
      </c>
      <c r="Z552">
        <v>0</v>
      </c>
      <c r="AA552">
        <v>3</v>
      </c>
      <c r="AB552" t="s">
        <v>199</v>
      </c>
      <c r="AC552" t="s">
        <v>151</v>
      </c>
      <c r="AD552">
        <v>1</v>
      </c>
      <c r="AE552">
        <v>52</v>
      </c>
      <c r="AF552">
        <v>2257</v>
      </c>
      <c r="AG552" t="s">
        <v>47</v>
      </c>
      <c r="AH552" t="s">
        <v>226</v>
      </c>
      <c r="AI552" t="s">
        <v>227</v>
      </c>
      <c r="AJ552" t="s">
        <v>50</v>
      </c>
      <c r="AK552" t="s">
        <v>51</v>
      </c>
      <c r="AL552">
        <v>3.6726999999999999</v>
      </c>
      <c r="AM552" t="s">
        <v>52</v>
      </c>
      <c r="AN552" t="s">
        <v>162</v>
      </c>
      <c r="AO552" t="s">
        <v>163</v>
      </c>
      <c r="AP552" t="s">
        <v>164</v>
      </c>
      <c r="AQ552" t="s">
        <v>55</v>
      </c>
    </row>
    <row r="553" spans="1:43" x14ac:dyDescent="0.3">
      <c r="A553" t="s">
        <v>43</v>
      </c>
      <c r="B553">
        <v>1999</v>
      </c>
      <c r="C553">
        <v>535</v>
      </c>
      <c r="D553">
        <v>5511</v>
      </c>
      <c r="E553">
        <v>10</v>
      </c>
      <c r="F553">
        <v>202305</v>
      </c>
      <c r="G553">
        <v>1600105</v>
      </c>
      <c r="H553" t="s">
        <v>160</v>
      </c>
      <c r="I553" t="s">
        <v>45</v>
      </c>
      <c r="J553">
        <v>7</v>
      </c>
      <c r="K553">
        <f t="shared" ca="1" si="89"/>
        <v>61</v>
      </c>
      <c r="L553">
        <f t="shared" ca="1" si="90"/>
        <v>86</v>
      </c>
      <c r="M553">
        <f t="shared" ca="1" si="91"/>
        <v>329</v>
      </c>
      <c r="N553">
        <f t="shared" ca="1" si="91"/>
        <v>157</v>
      </c>
      <c r="O553">
        <f t="shared" ca="1" si="88"/>
        <v>724</v>
      </c>
      <c r="P553">
        <f t="shared" ca="1" si="92"/>
        <v>920</v>
      </c>
      <c r="Q553">
        <f t="shared" ca="1" si="93"/>
        <v>133</v>
      </c>
      <c r="R553">
        <f t="shared" ca="1" si="94"/>
        <v>312</v>
      </c>
      <c r="S553">
        <f t="shared" ca="1" si="95"/>
        <v>8485</v>
      </c>
      <c r="T553">
        <f t="shared" ca="1" si="96"/>
        <v>7291</v>
      </c>
      <c r="U553">
        <f t="shared" ca="1" si="97"/>
        <v>826</v>
      </c>
      <c r="V553">
        <v>0</v>
      </c>
      <c r="W553">
        <v>0</v>
      </c>
      <c r="X553">
        <f t="shared" ca="1" si="98"/>
        <v>-495</v>
      </c>
      <c r="Y553">
        <v>0</v>
      </c>
      <c r="Z553">
        <v>0</v>
      </c>
      <c r="AA553">
        <v>24</v>
      </c>
      <c r="AB553" t="s">
        <v>199</v>
      </c>
      <c r="AC553" t="s">
        <v>167</v>
      </c>
      <c r="AD553">
        <v>1</v>
      </c>
      <c r="AE553">
        <v>52</v>
      </c>
      <c r="AF553">
        <v>2257</v>
      </c>
      <c r="AG553" t="s">
        <v>47</v>
      </c>
      <c r="AH553" t="s">
        <v>226</v>
      </c>
      <c r="AI553" t="s">
        <v>227</v>
      </c>
      <c r="AJ553" t="s">
        <v>50</v>
      </c>
      <c r="AK553" t="s">
        <v>51</v>
      </c>
      <c r="AL553">
        <v>3.6726999999999999</v>
      </c>
      <c r="AM553" t="s">
        <v>52</v>
      </c>
      <c r="AN553" t="s">
        <v>162</v>
      </c>
      <c r="AO553" t="s">
        <v>163</v>
      </c>
      <c r="AP553" t="s">
        <v>164</v>
      </c>
      <c r="AQ553" t="s">
        <v>55</v>
      </c>
    </row>
    <row r="554" spans="1:43" x14ac:dyDescent="0.3">
      <c r="A554" t="s">
        <v>43</v>
      </c>
      <c r="B554">
        <v>1999</v>
      </c>
      <c r="C554">
        <v>535</v>
      </c>
      <c r="D554">
        <v>5511</v>
      </c>
      <c r="E554">
        <v>10</v>
      </c>
      <c r="F554">
        <v>202305</v>
      </c>
      <c r="G554">
        <v>1600111</v>
      </c>
      <c r="H554" t="s">
        <v>160</v>
      </c>
      <c r="I554" t="s">
        <v>45</v>
      </c>
      <c r="J554">
        <v>7</v>
      </c>
      <c r="K554">
        <f t="shared" ca="1" si="89"/>
        <v>90</v>
      </c>
      <c r="L554">
        <f t="shared" ca="1" si="90"/>
        <v>-4</v>
      </c>
      <c r="M554">
        <f t="shared" ca="1" si="91"/>
        <v>144</v>
      </c>
      <c r="N554">
        <f t="shared" ca="1" si="91"/>
        <v>4</v>
      </c>
      <c r="O554">
        <f t="shared" ca="1" si="88"/>
        <v>594</v>
      </c>
      <c r="P554">
        <f t="shared" ca="1" si="92"/>
        <v>-72</v>
      </c>
      <c r="Q554">
        <f t="shared" ca="1" si="93"/>
        <v>737</v>
      </c>
      <c r="R554">
        <f t="shared" ca="1" si="94"/>
        <v>494</v>
      </c>
      <c r="S554">
        <f t="shared" ca="1" si="95"/>
        <v>9450</v>
      </c>
      <c r="T554">
        <f t="shared" ca="1" si="96"/>
        <v>7656</v>
      </c>
      <c r="U554">
        <f t="shared" ca="1" si="97"/>
        <v>-16</v>
      </c>
      <c r="V554">
        <v>0</v>
      </c>
      <c r="W554">
        <v>0</v>
      </c>
      <c r="X554">
        <f t="shared" ca="1" si="98"/>
        <v>-102</v>
      </c>
      <c r="Y554">
        <v>0</v>
      </c>
      <c r="Z554">
        <v>0</v>
      </c>
      <c r="AA554">
        <v>0</v>
      </c>
      <c r="AB554" t="s">
        <v>199</v>
      </c>
      <c r="AC554" t="s">
        <v>178</v>
      </c>
      <c r="AD554">
        <v>1</v>
      </c>
      <c r="AE554">
        <v>52</v>
      </c>
      <c r="AF554">
        <v>2257</v>
      </c>
      <c r="AG554" t="s">
        <v>47</v>
      </c>
      <c r="AH554" t="s">
        <v>226</v>
      </c>
      <c r="AI554" t="s">
        <v>227</v>
      </c>
      <c r="AJ554" t="s">
        <v>50</v>
      </c>
      <c r="AK554" t="s">
        <v>51</v>
      </c>
      <c r="AL554">
        <v>3.6726999999999999</v>
      </c>
      <c r="AM554" t="s">
        <v>52</v>
      </c>
      <c r="AN554" t="s">
        <v>162</v>
      </c>
      <c r="AO554" t="s">
        <v>163</v>
      </c>
      <c r="AP554" t="s">
        <v>164</v>
      </c>
      <c r="AQ554" t="s">
        <v>55</v>
      </c>
    </row>
    <row r="555" spans="1:43" x14ac:dyDescent="0.3">
      <c r="A555" t="s">
        <v>43</v>
      </c>
      <c r="B555">
        <v>1999</v>
      </c>
      <c r="C555">
        <v>535</v>
      </c>
      <c r="D555">
        <v>5511</v>
      </c>
      <c r="E555">
        <v>10</v>
      </c>
      <c r="F555">
        <v>202305</v>
      </c>
      <c r="G555">
        <v>1600112</v>
      </c>
      <c r="H555" t="s">
        <v>160</v>
      </c>
      <c r="I555" t="s">
        <v>45</v>
      </c>
      <c r="J555">
        <v>7</v>
      </c>
      <c r="K555">
        <f t="shared" ca="1" si="89"/>
        <v>36</v>
      </c>
      <c r="L555">
        <f t="shared" ca="1" si="90"/>
        <v>50</v>
      </c>
      <c r="M555">
        <f t="shared" ca="1" si="91"/>
        <v>441</v>
      </c>
      <c r="N555">
        <f t="shared" ca="1" si="91"/>
        <v>-61</v>
      </c>
      <c r="O555">
        <f t="shared" ca="1" si="88"/>
        <v>363</v>
      </c>
      <c r="P555">
        <f t="shared" ca="1" si="92"/>
        <v>279</v>
      </c>
      <c r="Q555">
        <f t="shared" ca="1" si="93"/>
        <v>288</v>
      </c>
      <c r="R555">
        <f t="shared" ca="1" si="94"/>
        <v>63</v>
      </c>
      <c r="S555">
        <f t="shared" ca="1" si="95"/>
        <v>12400</v>
      </c>
      <c r="T555">
        <f t="shared" ca="1" si="96"/>
        <v>1026</v>
      </c>
      <c r="U555">
        <f t="shared" ca="1" si="97"/>
        <v>195</v>
      </c>
      <c r="V555">
        <v>0</v>
      </c>
      <c r="W555">
        <v>0</v>
      </c>
      <c r="X555">
        <f t="shared" ca="1" si="98"/>
        <v>-352</v>
      </c>
      <c r="Y555">
        <v>0</v>
      </c>
      <c r="Z555">
        <v>0</v>
      </c>
      <c r="AA555">
        <v>-1</v>
      </c>
      <c r="AB555" t="s">
        <v>199</v>
      </c>
      <c r="AC555" t="s">
        <v>179</v>
      </c>
      <c r="AD555">
        <v>1</v>
      </c>
      <c r="AE555">
        <v>52</v>
      </c>
      <c r="AF555">
        <v>2257</v>
      </c>
      <c r="AG555" t="s">
        <v>47</v>
      </c>
      <c r="AH555" t="s">
        <v>226</v>
      </c>
      <c r="AI555" t="s">
        <v>227</v>
      </c>
      <c r="AJ555" t="s">
        <v>50</v>
      </c>
      <c r="AK555" t="s">
        <v>51</v>
      </c>
      <c r="AL555">
        <v>3.6726999999999999</v>
      </c>
      <c r="AM555" t="s">
        <v>52</v>
      </c>
      <c r="AN555" t="s">
        <v>162</v>
      </c>
      <c r="AO555" t="s">
        <v>163</v>
      </c>
      <c r="AP555" t="s">
        <v>164</v>
      </c>
      <c r="AQ555" t="s">
        <v>55</v>
      </c>
    </row>
    <row r="556" spans="1:43" x14ac:dyDescent="0.3">
      <c r="A556" t="s">
        <v>43</v>
      </c>
      <c r="B556">
        <v>1999</v>
      </c>
      <c r="C556">
        <v>535</v>
      </c>
      <c r="D556">
        <v>5511</v>
      </c>
      <c r="E556">
        <v>10</v>
      </c>
      <c r="F556">
        <v>202305</v>
      </c>
      <c r="G556">
        <v>1600113</v>
      </c>
      <c r="H556" t="s">
        <v>160</v>
      </c>
      <c r="I556" t="s">
        <v>45</v>
      </c>
      <c r="J556">
        <v>7</v>
      </c>
      <c r="K556">
        <f t="shared" ca="1" si="89"/>
        <v>15</v>
      </c>
      <c r="L556">
        <f t="shared" ca="1" si="90"/>
        <v>-84</v>
      </c>
      <c r="M556">
        <f t="shared" ca="1" si="91"/>
        <v>-45</v>
      </c>
      <c r="N556">
        <f t="shared" ca="1" si="91"/>
        <v>93</v>
      </c>
      <c r="O556">
        <f t="shared" ca="1" si="88"/>
        <v>448</v>
      </c>
      <c r="P556">
        <f t="shared" ca="1" si="92"/>
        <v>1271</v>
      </c>
      <c r="Q556">
        <f t="shared" ca="1" si="93"/>
        <v>508</v>
      </c>
      <c r="R556">
        <f t="shared" ca="1" si="94"/>
        <v>337</v>
      </c>
      <c r="S556">
        <f t="shared" ca="1" si="95"/>
        <v>13700</v>
      </c>
      <c r="T556">
        <f t="shared" ca="1" si="96"/>
        <v>6930</v>
      </c>
      <c r="U556">
        <f t="shared" ca="1" si="97"/>
        <v>665</v>
      </c>
      <c r="V556">
        <v>0</v>
      </c>
      <c r="W556">
        <v>0</v>
      </c>
      <c r="X556">
        <f t="shared" ca="1" si="98"/>
        <v>-446</v>
      </c>
      <c r="Y556">
        <v>0</v>
      </c>
      <c r="Z556">
        <v>0</v>
      </c>
      <c r="AA556">
        <v>4</v>
      </c>
      <c r="AB556" t="s">
        <v>199</v>
      </c>
      <c r="AC556" t="s">
        <v>180</v>
      </c>
      <c r="AD556">
        <v>1</v>
      </c>
      <c r="AE556">
        <v>52</v>
      </c>
      <c r="AF556">
        <v>2257</v>
      </c>
      <c r="AG556" t="s">
        <v>47</v>
      </c>
      <c r="AH556" t="s">
        <v>226</v>
      </c>
      <c r="AI556" t="s">
        <v>227</v>
      </c>
      <c r="AJ556" t="s">
        <v>50</v>
      </c>
      <c r="AK556" t="s">
        <v>51</v>
      </c>
      <c r="AL556">
        <v>3.6726999999999999</v>
      </c>
      <c r="AM556" t="s">
        <v>52</v>
      </c>
      <c r="AN556" t="s">
        <v>162</v>
      </c>
      <c r="AO556" t="s">
        <v>163</v>
      </c>
      <c r="AP556" t="s">
        <v>164</v>
      </c>
      <c r="AQ556" t="s">
        <v>55</v>
      </c>
    </row>
    <row r="557" spans="1:43" x14ac:dyDescent="0.3">
      <c r="A557" t="s">
        <v>43</v>
      </c>
      <c r="B557">
        <v>1999</v>
      </c>
      <c r="C557">
        <v>535</v>
      </c>
      <c r="D557">
        <v>5511</v>
      </c>
      <c r="E557">
        <v>10</v>
      </c>
      <c r="F557">
        <v>202305</v>
      </c>
      <c r="G557">
        <v>1600114</v>
      </c>
      <c r="H557" t="s">
        <v>160</v>
      </c>
      <c r="I557" t="s">
        <v>45</v>
      </c>
      <c r="J557">
        <v>7</v>
      </c>
      <c r="K557">
        <f t="shared" ca="1" si="89"/>
        <v>90</v>
      </c>
      <c r="L557">
        <f t="shared" ca="1" si="90"/>
        <v>62</v>
      </c>
      <c r="M557">
        <f t="shared" ca="1" si="91"/>
        <v>160</v>
      </c>
      <c r="N557">
        <f t="shared" ca="1" si="91"/>
        <v>-39</v>
      </c>
      <c r="O557">
        <f t="shared" ca="1" si="88"/>
        <v>524</v>
      </c>
      <c r="P557">
        <f t="shared" ca="1" si="92"/>
        <v>420</v>
      </c>
      <c r="Q557">
        <f t="shared" ca="1" si="93"/>
        <v>799</v>
      </c>
      <c r="R557">
        <f t="shared" ca="1" si="94"/>
        <v>199</v>
      </c>
      <c r="S557">
        <f t="shared" ca="1" si="95"/>
        <v>807</v>
      </c>
      <c r="T557">
        <f t="shared" ca="1" si="96"/>
        <v>2451</v>
      </c>
      <c r="U557">
        <f t="shared" ca="1" si="97"/>
        <v>932</v>
      </c>
      <c r="V557">
        <v>0</v>
      </c>
      <c r="W557">
        <v>0</v>
      </c>
      <c r="X557">
        <f t="shared" ca="1" si="98"/>
        <v>-377</v>
      </c>
      <c r="Y557">
        <v>0</v>
      </c>
      <c r="Z557">
        <v>0</v>
      </c>
      <c r="AA557">
        <v>0</v>
      </c>
      <c r="AB557" t="s">
        <v>199</v>
      </c>
      <c r="AC557" t="s">
        <v>181</v>
      </c>
      <c r="AD557">
        <v>1</v>
      </c>
      <c r="AE557">
        <v>52</v>
      </c>
      <c r="AF557">
        <v>2257</v>
      </c>
      <c r="AG557" t="s">
        <v>47</v>
      </c>
      <c r="AH557" t="s">
        <v>226</v>
      </c>
      <c r="AI557" t="s">
        <v>227</v>
      </c>
      <c r="AJ557" t="s">
        <v>50</v>
      </c>
      <c r="AK557" t="s">
        <v>51</v>
      </c>
      <c r="AL557">
        <v>3.6726999999999999</v>
      </c>
      <c r="AM557" t="s">
        <v>52</v>
      </c>
      <c r="AN557" t="s">
        <v>162</v>
      </c>
      <c r="AO557" t="s">
        <v>163</v>
      </c>
      <c r="AP557" t="s">
        <v>164</v>
      </c>
      <c r="AQ557" t="s">
        <v>55</v>
      </c>
    </row>
    <row r="558" spans="1:43" x14ac:dyDescent="0.3">
      <c r="A558" t="s">
        <v>43</v>
      </c>
      <c r="B558">
        <v>1999</v>
      </c>
      <c r="C558">
        <v>535</v>
      </c>
      <c r="D558">
        <v>5511</v>
      </c>
      <c r="E558">
        <v>10</v>
      </c>
      <c r="F558">
        <v>202305</v>
      </c>
      <c r="G558">
        <v>1600116</v>
      </c>
      <c r="H558" t="s">
        <v>160</v>
      </c>
      <c r="I558" t="s">
        <v>45</v>
      </c>
      <c r="J558">
        <v>7</v>
      </c>
      <c r="K558">
        <f t="shared" ca="1" si="89"/>
        <v>40</v>
      </c>
      <c r="L558">
        <f t="shared" ca="1" si="90"/>
        <v>-16</v>
      </c>
      <c r="M558">
        <f t="shared" ca="1" si="91"/>
        <v>180</v>
      </c>
      <c r="N558">
        <f t="shared" ca="1" si="91"/>
        <v>153</v>
      </c>
      <c r="O558">
        <f t="shared" ca="1" si="88"/>
        <v>990</v>
      </c>
      <c r="P558">
        <f t="shared" ca="1" si="92"/>
        <v>860</v>
      </c>
      <c r="Q558">
        <f t="shared" ca="1" si="93"/>
        <v>631</v>
      </c>
      <c r="R558">
        <f t="shared" ca="1" si="94"/>
        <v>150</v>
      </c>
      <c r="S558">
        <f t="shared" ca="1" si="95"/>
        <v>3005</v>
      </c>
      <c r="T558">
        <f t="shared" ca="1" si="96"/>
        <v>4940</v>
      </c>
      <c r="U558">
        <f t="shared" ca="1" si="97"/>
        <v>1251</v>
      </c>
      <c r="V558">
        <v>0</v>
      </c>
      <c r="W558">
        <v>0</v>
      </c>
      <c r="X558">
        <f t="shared" ca="1" si="98"/>
        <v>-250</v>
      </c>
      <c r="Y558">
        <v>0</v>
      </c>
      <c r="Z558">
        <v>0</v>
      </c>
      <c r="AA558">
        <v>8</v>
      </c>
      <c r="AB558" t="s">
        <v>199</v>
      </c>
      <c r="AC558" t="s">
        <v>183</v>
      </c>
      <c r="AD558">
        <v>1</v>
      </c>
      <c r="AE558">
        <v>52</v>
      </c>
      <c r="AF558">
        <v>2257</v>
      </c>
      <c r="AG558" t="s">
        <v>47</v>
      </c>
      <c r="AH558" t="s">
        <v>226</v>
      </c>
      <c r="AI558" t="s">
        <v>227</v>
      </c>
      <c r="AJ558" t="s">
        <v>50</v>
      </c>
      <c r="AK558" t="s">
        <v>51</v>
      </c>
      <c r="AL558">
        <v>3.6726999999999999</v>
      </c>
      <c r="AM558" t="s">
        <v>52</v>
      </c>
      <c r="AN558" t="s">
        <v>162</v>
      </c>
      <c r="AO558" t="s">
        <v>163</v>
      </c>
      <c r="AP558" t="s">
        <v>164</v>
      </c>
      <c r="AQ558" t="s">
        <v>55</v>
      </c>
    </row>
    <row r="559" spans="1:43" x14ac:dyDescent="0.3">
      <c r="A559" t="s">
        <v>43</v>
      </c>
      <c r="B559">
        <v>1999</v>
      </c>
      <c r="C559">
        <v>535</v>
      </c>
      <c r="D559">
        <v>5511</v>
      </c>
      <c r="E559">
        <v>10</v>
      </c>
      <c r="F559">
        <v>202305</v>
      </c>
      <c r="G559">
        <v>1600117</v>
      </c>
      <c r="H559" t="s">
        <v>160</v>
      </c>
      <c r="I559" t="s">
        <v>45</v>
      </c>
      <c r="J559">
        <v>7</v>
      </c>
      <c r="K559">
        <f t="shared" ca="1" si="89"/>
        <v>38</v>
      </c>
      <c r="L559">
        <f t="shared" ca="1" si="90"/>
        <v>-25</v>
      </c>
      <c r="M559">
        <f t="shared" ca="1" si="91"/>
        <v>-21</v>
      </c>
      <c r="N559">
        <f t="shared" ca="1" si="91"/>
        <v>7</v>
      </c>
      <c r="O559">
        <f t="shared" ca="1" si="88"/>
        <v>254</v>
      </c>
      <c r="P559">
        <f t="shared" ca="1" si="92"/>
        <v>389</v>
      </c>
      <c r="Q559">
        <f t="shared" ca="1" si="93"/>
        <v>419</v>
      </c>
      <c r="R559">
        <f t="shared" ca="1" si="94"/>
        <v>458</v>
      </c>
      <c r="S559">
        <f t="shared" ca="1" si="95"/>
        <v>352</v>
      </c>
      <c r="T559">
        <f t="shared" ca="1" si="96"/>
        <v>3471</v>
      </c>
      <c r="U559">
        <f t="shared" ca="1" si="97"/>
        <v>1074</v>
      </c>
      <c r="V559">
        <v>0</v>
      </c>
      <c r="W559">
        <v>0</v>
      </c>
      <c r="X559">
        <f t="shared" ca="1" si="98"/>
        <v>-316</v>
      </c>
      <c r="Y559">
        <v>0</v>
      </c>
      <c r="Z559">
        <v>0</v>
      </c>
      <c r="AA559">
        <v>73</v>
      </c>
      <c r="AB559" t="s">
        <v>199</v>
      </c>
      <c r="AC559" t="s">
        <v>184</v>
      </c>
      <c r="AD559">
        <v>1</v>
      </c>
      <c r="AE559">
        <v>52</v>
      </c>
      <c r="AF559">
        <v>2257</v>
      </c>
      <c r="AG559" t="s">
        <v>47</v>
      </c>
      <c r="AH559" t="s">
        <v>226</v>
      </c>
      <c r="AI559" t="s">
        <v>227</v>
      </c>
      <c r="AJ559" t="s">
        <v>50</v>
      </c>
      <c r="AK559" t="s">
        <v>51</v>
      </c>
      <c r="AL559">
        <v>3.6726999999999999</v>
      </c>
      <c r="AM559" t="s">
        <v>52</v>
      </c>
      <c r="AN559" t="s">
        <v>162</v>
      </c>
      <c r="AO559" t="s">
        <v>163</v>
      </c>
      <c r="AP559" t="s">
        <v>164</v>
      </c>
      <c r="AQ559" t="s">
        <v>55</v>
      </c>
    </row>
    <row r="560" spans="1:43" x14ac:dyDescent="0.3">
      <c r="A560" t="s">
        <v>43</v>
      </c>
      <c r="B560">
        <v>1999</v>
      </c>
      <c r="C560">
        <v>535</v>
      </c>
      <c r="D560">
        <v>5511</v>
      </c>
      <c r="E560">
        <v>10</v>
      </c>
      <c r="F560">
        <v>202305</v>
      </c>
      <c r="G560">
        <v>1600122</v>
      </c>
      <c r="H560" t="s">
        <v>160</v>
      </c>
      <c r="I560" t="s">
        <v>45</v>
      </c>
      <c r="J560">
        <v>7</v>
      </c>
      <c r="K560">
        <f t="shared" ca="1" si="89"/>
        <v>93</v>
      </c>
      <c r="L560">
        <f t="shared" ca="1" si="90"/>
        <v>26</v>
      </c>
      <c r="M560">
        <f t="shared" ca="1" si="91"/>
        <v>-99</v>
      </c>
      <c r="N560">
        <f t="shared" ca="1" si="91"/>
        <v>404</v>
      </c>
      <c r="O560">
        <f t="shared" ca="1" si="88"/>
        <v>331</v>
      </c>
      <c r="P560">
        <f t="shared" ca="1" si="92"/>
        <v>-496</v>
      </c>
      <c r="Q560">
        <f t="shared" ca="1" si="93"/>
        <v>205</v>
      </c>
      <c r="R560">
        <f t="shared" ca="1" si="94"/>
        <v>120</v>
      </c>
      <c r="S560">
        <f t="shared" ca="1" si="95"/>
        <v>7378</v>
      </c>
      <c r="T560">
        <f t="shared" ca="1" si="96"/>
        <v>448</v>
      </c>
      <c r="U560">
        <f t="shared" ca="1" si="97"/>
        <v>779</v>
      </c>
      <c r="V560">
        <v>0</v>
      </c>
      <c r="W560">
        <v>0</v>
      </c>
      <c r="X560">
        <f t="shared" ca="1" si="98"/>
        <v>-23</v>
      </c>
      <c r="Y560">
        <v>0</v>
      </c>
      <c r="Z560">
        <v>0</v>
      </c>
      <c r="AA560">
        <v>59</v>
      </c>
      <c r="AB560" t="s">
        <v>199</v>
      </c>
      <c r="AC560" t="s">
        <v>189</v>
      </c>
      <c r="AD560">
        <v>1</v>
      </c>
      <c r="AE560">
        <v>52</v>
      </c>
      <c r="AF560">
        <v>2257</v>
      </c>
      <c r="AG560" t="s">
        <v>47</v>
      </c>
      <c r="AH560" t="s">
        <v>226</v>
      </c>
      <c r="AI560" t="s">
        <v>227</v>
      </c>
      <c r="AJ560" t="s">
        <v>50</v>
      </c>
      <c r="AK560" t="s">
        <v>51</v>
      </c>
      <c r="AL560">
        <v>3.6726999999999999</v>
      </c>
      <c r="AM560" t="s">
        <v>52</v>
      </c>
      <c r="AN560" t="s">
        <v>162</v>
      </c>
      <c r="AO560" t="s">
        <v>163</v>
      </c>
      <c r="AP560" t="s">
        <v>164</v>
      </c>
      <c r="AQ560" t="s">
        <v>55</v>
      </c>
    </row>
    <row r="561" spans="1:43" x14ac:dyDescent="0.3">
      <c r="A561" t="s">
        <v>43</v>
      </c>
      <c r="B561">
        <v>1999</v>
      </c>
      <c r="C561">
        <v>535</v>
      </c>
      <c r="D561">
        <v>5511</v>
      </c>
      <c r="E561">
        <v>10</v>
      </c>
      <c r="F561">
        <v>202305</v>
      </c>
      <c r="G561">
        <v>1600123</v>
      </c>
      <c r="H561" t="s">
        <v>160</v>
      </c>
      <c r="I561" t="s">
        <v>45</v>
      </c>
      <c r="J561">
        <v>7</v>
      </c>
      <c r="K561">
        <f t="shared" ca="1" si="89"/>
        <v>91</v>
      </c>
      <c r="L561">
        <f t="shared" ca="1" si="90"/>
        <v>-96</v>
      </c>
      <c r="M561">
        <f t="shared" ca="1" si="91"/>
        <v>335</v>
      </c>
      <c r="N561">
        <f t="shared" ca="1" si="91"/>
        <v>47</v>
      </c>
      <c r="O561">
        <f t="shared" ca="1" si="88"/>
        <v>298</v>
      </c>
      <c r="P561">
        <f t="shared" ca="1" si="92"/>
        <v>-498</v>
      </c>
      <c r="Q561">
        <f t="shared" ca="1" si="93"/>
        <v>1142</v>
      </c>
      <c r="R561">
        <f t="shared" ca="1" si="94"/>
        <v>143</v>
      </c>
      <c r="S561">
        <f t="shared" ca="1" si="95"/>
        <v>11715</v>
      </c>
      <c r="T561">
        <f t="shared" ca="1" si="96"/>
        <v>4952</v>
      </c>
      <c r="U561">
        <f t="shared" ca="1" si="97"/>
        <v>1223</v>
      </c>
      <c r="V561">
        <v>0</v>
      </c>
      <c r="W561">
        <v>0</v>
      </c>
      <c r="X561">
        <f t="shared" ca="1" si="98"/>
        <v>-144</v>
      </c>
      <c r="Y561">
        <v>0</v>
      </c>
      <c r="Z561">
        <v>0</v>
      </c>
      <c r="AA561">
        <v>3</v>
      </c>
      <c r="AB561" t="s">
        <v>199</v>
      </c>
      <c r="AC561" t="s">
        <v>185</v>
      </c>
      <c r="AD561">
        <v>1</v>
      </c>
      <c r="AE561">
        <v>52</v>
      </c>
      <c r="AF561">
        <v>2257</v>
      </c>
      <c r="AG561" t="s">
        <v>47</v>
      </c>
      <c r="AH561" t="s">
        <v>226</v>
      </c>
      <c r="AI561" t="s">
        <v>227</v>
      </c>
      <c r="AJ561" t="s">
        <v>50</v>
      </c>
      <c r="AK561" t="s">
        <v>51</v>
      </c>
      <c r="AL561">
        <v>3.6726999999999999</v>
      </c>
      <c r="AM561" t="s">
        <v>52</v>
      </c>
      <c r="AN561" t="s">
        <v>162</v>
      </c>
      <c r="AO561" t="s">
        <v>163</v>
      </c>
      <c r="AP561" t="s">
        <v>164</v>
      </c>
      <c r="AQ561" t="s">
        <v>55</v>
      </c>
    </row>
    <row r="562" spans="1:43" x14ac:dyDescent="0.3">
      <c r="A562" t="s">
        <v>43</v>
      </c>
      <c r="B562">
        <v>1999</v>
      </c>
      <c r="C562">
        <v>535</v>
      </c>
      <c r="D562">
        <v>5511</v>
      </c>
      <c r="E562">
        <v>10</v>
      </c>
      <c r="F562">
        <v>202305</v>
      </c>
      <c r="G562">
        <v>1600126</v>
      </c>
      <c r="H562" t="s">
        <v>160</v>
      </c>
      <c r="I562" t="s">
        <v>45</v>
      </c>
      <c r="J562">
        <v>7</v>
      </c>
      <c r="K562">
        <f t="shared" ca="1" si="89"/>
        <v>13</v>
      </c>
      <c r="L562">
        <f t="shared" ca="1" si="90"/>
        <v>-77</v>
      </c>
      <c r="M562">
        <f t="shared" ca="1" si="91"/>
        <v>102</v>
      </c>
      <c r="N562">
        <f t="shared" ca="1" si="91"/>
        <v>229</v>
      </c>
      <c r="O562">
        <f t="shared" ca="1" si="88"/>
        <v>896</v>
      </c>
      <c r="P562">
        <f t="shared" ca="1" si="92"/>
        <v>1138</v>
      </c>
      <c r="Q562">
        <f t="shared" ca="1" si="93"/>
        <v>440</v>
      </c>
      <c r="R562">
        <f t="shared" ca="1" si="94"/>
        <v>287</v>
      </c>
      <c r="S562">
        <f t="shared" ca="1" si="95"/>
        <v>7237</v>
      </c>
      <c r="T562">
        <f t="shared" ca="1" si="96"/>
        <v>6851</v>
      </c>
      <c r="U562">
        <f t="shared" ca="1" si="97"/>
        <v>998</v>
      </c>
      <c r="V562">
        <v>0</v>
      </c>
      <c r="W562">
        <v>0</v>
      </c>
      <c r="X562">
        <f t="shared" ca="1" si="98"/>
        <v>-25</v>
      </c>
      <c r="Y562">
        <v>0</v>
      </c>
      <c r="Z562">
        <v>1</v>
      </c>
      <c r="AA562">
        <v>100</v>
      </c>
      <c r="AB562" t="s">
        <v>199</v>
      </c>
      <c r="AC562" t="s">
        <v>186</v>
      </c>
      <c r="AD562">
        <v>1</v>
      </c>
      <c r="AE562">
        <v>52</v>
      </c>
      <c r="AF562">
        <v>2257</v>
      </c>
      <c r="AG562" t="s">
        <v>47</v>
      </c>
      <c r="AH562" t="s">
        <v>226</v>
      </c>
      <c r="AI562" t="s">
        <v>227</v>
      </c>
      <c r="AJ562" t="s">
        <v>50</v>
      </c>
      <c r="AK562" t="s">
        <v>51</v>
      </c>
      <c r="AL562">
        <v>3.6726999999999999</v>
      </c>
      <c r="AM562" t="s">
        <v>52</v>
      </c>
      <c r="AN562" t="s">
        <v>162</v>
      </c>
      <c r="AO562" t="s">
        <v>163</v>
      </c>
      <c r="AP562" t="s">
        <v>164</v>
      </c>
      <c r="AQ562" t="s">
        <v>55</v>
      </c>
    </row>
    <row r="563" spans="1:43" x14ac:dyDescent="0.3">
      <c r="A563" t="s">
        <v>43</v>
      </c>
      <c r="B563">
        <v>1999</v>
      </c>
      <c r="C563">
        <v>535</v>
      </c>
      <c r="D563">
        <v>5511</v>
      </c>
      <c r="E563">
        <v>10</v>
      </c>
      <c r="F563">
        <v>202305</v>
      </c>
      <c r="G563">
        <v>1600127</v>
      </c>
      <c r="H563" t="s">
        <v>160</v>
      </c>
      <c r="I563" t="s">
        <v>45</v>
      </c>
      <c r="J563">
        <v>7</v>
      </c>
      <c r="K563">
        <f t="shared" ca="1" si="89"/>
        <v>35</v>
      </c>
      <c r="L563">
        <f t="shared" ca="1" si="90"/>
        <v>83</v>
      </c>
      <c r="M563">
        <f t="shared" ca="1" si="91"/>
        <v>441</v>
      </c>
      <c r="N563">
        <f t="shared" ca="1" si="91"/>
        <v>274</v>
      </c>
      <c r="O563">
        <f t="shared" ca="1" si="88"/>
        <v>682</v>
      </c>
      <c r="P563">
        <f t="shared" ca="1" si="92"/>
        <v>1072</v>
      </c>
      <c r="Q563">
        <f t="shared" ca="1" si="93"/>
        <v>184</v>
      </c>
      <c r="R563">
        <f t="shared" ca="1" si="94"/>
        <v>133</v>
      </c>
      <c r="S563">
        <f t="shared" ca="1" si="95"/>
        <v>9288</v>
      </c>
      <c r="T563">
        <f t="shared" ca="1" si="96"/>
        <v>6585</v>
      </c>
      <c r="U563">
        <f t="shared" ca="1" si="97"/>
        <v>192</v>
      </c>
      <c r="V563">
        <v>0</v>
      </c>
      <c r="W563">
        <v>0</v>
      </c>
      <c r="X563">
        <f t="shared" ca="1" si="98"/>
        <v>-451</v>
      </c>
      <c r="Y563">
        <v>0</v>
      </c>
      <c r="Z563">
        <v>0</v>
      </c>
      <c r="AA563">
        <v>36</v>
      </c>
      <c r="AB563" t="s">
        <v>199</v>
      </c>
      <c r="AC563" t="s">
        <v>173</v>
      </c>
      <c r="AD563">
        <v>1</v>
      </c>
      <c r="AE563">
        <v>52</v>
      </c>
      <c r="AF563">
        <v>2257</v>
      </c>
      <c r="AG563" t="s">
        <v>47</v>
      </c>
      <c r="AH563" t="s">
        <v>226</v>
      </c>
      <c r="AI563" t="s">
        <v>227</v>
      </c>
      <c r="AJ563" t="s">
        <v>50</v>
      </c>
      <c r="AK563" t="s">
        <v>51</v>
      </c>
      <c r="AL563">
        <v>3.6726999999999999</v>
      </c>
      <c r="AM563" t="s">
        <v>52</v>
      </c>
      <c r="AN563" t="s">
        <v>162</v>
      </c>
      <c r="AO563" t="s">
        <v>163</v>
      </c>
      <c r="AP563" t="s">
        <v>164</v>
      </c>
      <c r="AQ563" t="s">
        <v>55</v>
      </c>
    </row>
    <row r="564" spans="1:43" x14ac:dyDescent="0.3">
      <c r="A564" t="s">
        <v>43</v>
      </c>
      <c r="B564">
        <v>1999</v>
      </c>
      <c r="C564">
        <v>535</v>
      </c>
      <c r="D564">
        <v>5511</v>
      </c>
      <c r="E564">
        <v>10</v>
      </c>
      <c r="F564">
        <v>202305</v>
      </c>
      <c r="G564">
        <v>1600143</v>
      </c>
      <c r="H564" t="s">
        <v>160</v>
      </c>
      <c r="I564" t="s">
        <v>45</v>
      </c>
      <c r="J564">
        <v>7</v>
      </c>
      <c r="K564">
        <f t="shared" ca="1" si="89"/>
        <v>64</v>
      </c>
      <c r="L564">
        <f t="shared" ca="1" si="90"/>
        <v>-17</v>
      </c>
      <c r="M564">
        <f t="shared" ca="1" si="91"/>
        <v>214</v>
      </c>
      <c r="N564">
        <f t="shared" ca="1" si="91"/>
        <v>169</v>
      </c>
      <c r="O564">
        <f t="shared" ca="1" si="88"/>
        <v>-85</v>
      </c>
      <c r="P564">
        <f t="shared" ca="1" si="92"/>
        <v>662</v>
      </c>
      <c r="Q564">
        <f t="shared" ca="1" si="93"/>
        <v>469</v>
      </c>
      <c r="R564">
        <f t="shared" ca="1" si="94"/>
        <v>64</v>
      </c>
      <c r="S564">
        <f t="shared" ca="1" si="95"/>
        <v>751</v>
      </c>
      <c r="T564">
        <f t="shared" ca="1" si="96"/>
        <v>9586</v>
      </c>
      <c r="U564">
        <f t="shared" ca="1" si="97"/>
        <v>365</v>
      </c>
      <c r="V564">
        <v>0</v>
      </c>
      <c r="W564">
        <v>0</v>
      </c>
      <c r="X564">
        <f t="shared" ca="1" si="98"/>
        <v>-118</v>
      </c>
      <c r="Y564">
        <v>0</v>
      </c>
      <c r="Z564">
        <v>0</v>
      </c>
      <c r="AA564">
        <v>12</v>
      </c>
      <c r="AB564" t="s">
        <v>199</v>
      </c>
      <c r="AC564" t="s">
        <v>198</v>
      </c>
      <c r="AD564">
        <v>1</v>
      </c>
      <c r="AE564">
        <v>52</v>
      </c>
      <c r="AF564">
        <v>2257</v>
      </c>
      <c r="AG564" t="s">
        <v>47</v>
      </c>
      <c r="AH564" t="s">
        <v>226</v>
      </c>
      <c r="AI564" t="s">
        <v>227</v>
      </c>
      <c r="AJ564" t="s">
        <v>50</v>
      </c>
      <c r="AK564" t="s">
        <v>51</v>
      </c>
      <c r="AL564">
        <v>3.6726999999999999</v>
      </c>
      <c r="AM564" t="s">
        <v>52</v>
      </c>
      <c r="AN564" t="s">
        <v>162</v>
      </c>
      <c r="AO564" t="s">
        <v>163</v>
      </c>
      <c r="AP564" t="s">
        <v>164</v>
      </c>
      <c r="AQ564" t="s">
        <v>55</v>
      </c>
    </row>
    <row r="565" spans="1:43" x14ac:dyDescent="0.3">
      <c r="A565" t="s">
        <v>43</v>
      </c>
      <c r="B565">
        <v>1999</v>
      </c>
      <c r="C565">
        <v>535</v>
      </c>
      <c r="D565">
        <v>5511</v>
      </c>
      <c r="E565">
        <v>10</v>
      </c>
      <c r="F565">
        <v>202305</v>
      </c>
      <c r="G565">
        <v>1600351</v>
      </c>
      <c r="H565" t="s">
        <v>160</v>
      </c>
      <c r="I565" t="s">
        <v>45</v>
      </c>
      <c r="J565">
        <v>7</v>
      </c>
      <c r="K565">
        <f t="shared" ca="1" si="89"/>
        <v>34</v>
      </c>
      <c r="L565">
        <f t="shared" ca="1" si="90"/>
        <v>34</v>
      </c>
      <c r="M565">
        <f t="shared" ca="1" si="91"/>
        <v>310</v>
      </c>
      <c r="N565">
        <f t="shared" ca="1" si="91"/>
        <v>234</v>
      </c>
      <c r="O565">
        <f t="shared" ca="1" si="88"/>
        <v>90</v>
      </c>
      <c r="P565">
        <f t="shared" ca="1" si="92"/>
        <v>-103</v>
      </c>
      <c r="Q565">
        <f t="shared" ca="1" si="93"/>
        <v>352</v>
      </c>
      <c r="R565">
        <f t="shared" ca="1" si="94"/>
        <v>357</v>
      </c>
      <c r="S565">
        <f t="shared" ca="1" si="95"/>
        <v>14510</v>
      </c>
      <c r="T565">
        <f t="shared" ca="1" si="96"/>
        <v>3767</v>
      </c>
      <c r="U565">
        <f t="shared" ca="1" si="97"/>
        <v>155</v>
      </c>
      <c r="V565">
        <v>0</v>
      </c>
      <c r="W565">
        <v>0</v>
      </c>
      <c r="X565">
        <f t="shared" ca="1" si="98"/>
        <v>-71</v>
      </c>
      <c r="Y565">
        <v>0</v>
      </c>
      <c r="Z565">
        <v>0</v>
      </c>
      <c r="AA565">
        <v>24</v>
      </c>
      <c r="AB565" t="s">
        <v>199</v>
      </c>
      <c r="AC565" t="s">
        <v>121</v>
      </c>
      <c r="AD565">
        <v>1</v>
      </c>
      <c r="AE565">
        <v>52</v>
      </c>
      <c r="AF565">
        <v>2257</v>
      </c>
      <c r="AG565" t="s">
        <v>47</v>
      </c>
      <c r="AH565" t="s">
        <v>226</v>
      </c>
      <c r="AI565" t="s">
        <v>227</v>
      </c>
      <c r="AJ565" t="s">
        <v>50</v>
      </c>
      <c r="AK565" t="s">
        <v>51</v>
      </c>
      <c r="AL565">
        <v>3.6726999999999999</v>
      </c>
      <c r="AM565" t="s">
        <v>52</v>
      </c>
      <c r="AN565" t="s">
        <v>162</v>
      </c>
      <c r="AO565" t="s">
        <v>163</v>
      </c>
      <c r="AP565" t="s">
        <v>164</v>
      </c>
      <c r="AQ565" t="s">
        <v>55</v>
      </c>
    </row>
    <row r="566" spans="1:43" x14ac:dyDescent="0.3">
      <c r="A566" t="s">
        <v>43</v>
      </c>
      <c r="B566">
        <v>1999</v>
      </c>
      <c r="C566">
        <v>535</v>
      </c>
      <c r="D566">
        <v>5511</v>
      </c>
      <c r="E566">
        <v>10</v>
      </c>
      <c r="F566">
        <v>202305</v>
      </c>
      <c r="G566">
        <v>1601209</v>
      </c>
      <c r="H566" t="s">
        <v>160</v>
      </c>
      <c r="I566" t="s">
        <v>45</v>
      </c>
      <c r="J566">
        <v>7</v>
      </c>
      <c r="K566">
        <f t="shared" ca="1" si="89"/>
        <v>98</v>
      </c>
      <c r="L566">
        <f t="shared" ca="1" si="90"/>
        <v>-27</v>
      </c>
      <c r="M566">
        <f t="shared" ca="1" si="91"/>
        <v>231</v>
      </c>
      <c r="N566">
        <f t="shared" ca="1" si="91"/>
        <v>369</v>
      </c>
      <c r="O566">
        <f ca="1">RANDBETWEEN(-100, 1000)</f>
        <v>325</v>
      </c>
      <c r="P566">
        <f t="shared" ca="1" si="92"/>
        <v>-213</v>
      </c>
      <c r="Q566">
        <f ca="1">RANDBETWEEN(0,10000)</f>
        <v>7725</v>
      </c>
      <c r="R566">
        <f t="shared" ca="1" si="94"/>
        <v>-30</v>
      </c>
      <c r="S566">
        <f t="shared" ca="1" si="95"/>
        <v>5960</v>
      </c>
      <c r="T566">
        <f t="shared" ca="1" si="96"/>
        <v>3638</v>
      </c>
      <c r="U566">
        <f t="shared" ca="1" si="97"/>
        <v>-16</v>
      </c>
      <c r="V566">
        <v>0</v>
      </c>
      <c r="W566">
        <v>0</v>
      </c>
      <c r="X566">
        <f t="shared" ca="1" si="98"/>
        <v>-251</v>
      </c>
      <c r="Y566">
        <v>0</v>
      </c>
      <c r="Z566">
        <v>0</v>
      </c>
      <c r="AA566">
        <v>30</v>
      </c>
      <c r="AB566" t="s">
        <v>199</v>
      </c>
      <c r="AC566" t="s">
        <v>175</v>
      </c>
      <c r="AD566">
        <v>1</v>
      </c>
      <c r="AE566">
        <v>52</v>
      </c>
      <c r="AF566">
        <v>2257</v>
      </c>
      <c r="AG566" t="s">
        <v>47</v>
      </c>
      <c r="AH566" t="s">
        <v>226</v>
      </c>
      <c r="AI566" t="s">
        <v>227</v>
      </c>
      <c r="AJ566" t="s">
        <v>50</v>
      </c>
      <c r="AK566" t="s">
        <v>51</v>
      </c>
      <c r="AL566">
        <v>3.6726999999999999</v>
      </c>
      <c r="AM566" t="s">
        <v>52</v>
      </c>
      <c r="AN566" t="s">
        <v>162</v>
      </c>
      <c r="AO566" t="s">
        <v>163</v>
      </c>
      <c r="AP566" t="s">
        <v>164</v>
      </c>
      <c r="AQ56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 Kareem</dc:creator>
  <cp:lastModifiedBy>Amrin Kareem</cp:lastModifiedBy>
  <dcterms:created xsi:type="dcterms:W3CDTF">2025-12-29T16:23:55Z</dcterms:created>
  <dcterms:modified xsi:type="dcterms:W3CDTF">2025-12-29T16:24:18Z</dcterms:modified>
</cp:coreProperties>
</file>